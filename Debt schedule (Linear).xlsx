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4161735\Downloads\"/>
    </mc:Choice>
  </mc:AlternateContent>
  <xr:revisionPtr revIDLastSave="0" documentId="8_{72E8595E-585F-4A88-A5EC-5006C1AAEBB0}" xr6:coauthVersionLast="47" xr6:coauthVersionMax="47" xr10:uidLastSave="{00000000-0000-0000-0000-000000000000}"/>
  <bookViews>
    <workbookView xWindow="-108" yWindow="-108" windowWidth="23256" windowHeight="12456" xr2:uid="{60D5B8A3-5E6D-4C9F-B671-802C7DC2FECE}"/>
  </bookViews>
  <sheets>
    <sheet name="Sheet1" sheetId="1" r:id="rId1"/>
    <sheet name="Sheet2" sheetId="2" state="hidden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I27" i="1"/>
  <c r="I28" i="1"/>
  <c r="E9" i="1"/>
  <c r="I9" i="1"/>
  <c r="AD8" i="1"/>
  <c r="AD11" i="1" s="1"/>
  <c r="I8" i="1"/>
  <c r="I11" i="1" s="1"/>
  <c r="I7" i="1"/>
  <c r="I5" i="1"/>
  <c r="I6" i="1"/>
  <c r="J3" i="1"/>
  <c r="J4" i="1" s="1"/>
  <c r="K3" i="1" s="1"/>
  <c r="K4" i="1" s="1"/>
  <c r="L3" i="1" s="1"/>
  <c r="L4" i="1" s="1"/>
  <c r="M3" i="1" s="1"/>
  <c r="M4" i="1" s="1"/>
  <c r="N3" i="1" s="1"/>
  <c r="N4" i="1" s="1"/>
  <c r="O3" i="1" s="1"/>
  <c r="O4" i="1" s="1"/>
  <c r="P3" i="1" s="1"/>
  <c r="P4" i="1" s="1"/>
  <c r="Q3" i="1" s="1"/>
  <c r="Q4" i="1" s="1"/>
  <c r="R3" i="1" s="1"/>
  <c r="R4" i="1" s="1"/>
  <c r="S3" i="1" s="1"/>
  <c r="S4" i="1" s="1"/>
  <c r="T3" i="1" s="1"/>
  <c r="T4" i="1" s="1"/>
  <c r="U3" i="1" s="1"/>
  <c r="U4" i="1" s="1"/>
  <c r="V3" i="1" s="1"/>
  <c r="V4" i="1" s="1"/>
  <c r="W3" i="1" s="1"/>
  <c r="W4" i="1" s="1"/>
  <c r="X3" i="1" s="1"/>
  <c r="X4" i="1" s="1"/>
  <c r="Y3" i="1" s="1"/>
  <c r="Y4" i="1" s="1"/>
  <c r="Z3" i="1" s="1"/>
  <c r="Z4" i="1" s="1"/>
  <c r="AA3" i="1" s="1"/>
  <c r="AA4" i="1" s="1"/>
  <c r="AB3" i="1" s="1"/>
  <c r="AB4" i="1" s="1"/>
  <c r="AC3" i="1" s="1"/>
  <c r="AC4" i="1" s="1"/>
  <c r="AD3" i="1" s="1"/>
  <c r="AD4" i="1" s="1"/>
  <c r="AE3" i="1" s="1"/>
  <c r="AE4" i="1" s="1"/>
  <c r="AF3" i="1" s="1"/>
  <c r="AF4" i="1" s="1"/>
  <c r="AG3" i="1" s="1"/>
  <c r="AG4" i="1" s="1"/>
  <c r="D13" i="1"/>
  <c r="I12" i="1"/>
  <c r="J3" i="2" a="1"/>
  <c r="J3" i="2"/>
  <c r="I26" i="1"/>
  <c r="H13" i="1"/>
  <c r="AA6" i="1" l="1"/>
  <c r="O6" i="1"/>
  <c r="O5" i="1"/>
  <c r="AA5" i="1"/>
  <c r="N7" i="1"/>
  <c r="Z7" i="1"/>
  <c r="M8" i="1"/>
  <c r="M11" i="1" s="1"/>
  <c r="Y8" i="1"/>
  <c r="Y11" i="1" s="1"/>
  <c r="L9" i="1"/>
  <c r="X9" i="1"/>
  <c r="AC9" i="1"/>
  <c r="Z6" i="1"/>
  <c r="N6" i="1"/>
  <c r="P5" i="1"/>
  <c r="AB5" i="1"/>
  <c r="O7" i="1"/>
  <c r="AA7" i="1"/>
  <c r="N8" i="1"/>
  <c r="N11" i="1" s="1"/>
  <c r="N14" i="1" s="1"/>
  <c r="Z8" i="1"/>
  <c r="Z11" i="1" s="1"/>
  <c r="M9" i="1"/>
  <c r="Y9" i="1"/>
  <c r="Y6" i="1"/>
  <c r="M6" i="1"/>
  <c r="Q5" i="1"/>
  <c r="AC5" i="1"/>
  <c r="P7" i="1"/>
  <c r="AB7" i="1"/>
  <c r="O8" i="1"/>
  <c r="O11" i="1" s="1"/>
  <c r="AA8" i="1"/>
  <c r="AA11" i="1" s="1"/>
  <c r="N9" i="1"/>
  <c r="Z9" i="1"/>
  <c r="X6" i="1"/>
  <c r="L6" i="1"/>
  <c r="R5" i="1"/>
  <c r="AD5" i="1"/>
  <c r="Q7" i="1"/>
  <c r="AC7" i="1"/>
  <c r="P8" i="1"/>
  <c r="P11" i="1" s="1"/>
  <c r="P14" i="1" s="1"/>
  <c r="AB8" i="1"/>
  <c r="AB11" i="1" s="1"/>
  <c r="AB14" i="1" s="1"/>
  <c r="O9" i="1"/>
  <c r="AA9" i="1"/>
  <c r="W6" i="1"/>
  <c r="K6" i="1"/>
  <c r="S5" i="1"/>
  <c r="AE5" i="1"/>
  <c r="R7" i="1"/>
  <c r="AD7" i="1"/>
  <c r="Q8" i="1"/>
  <c r="Q11" i="1" s="1"/>
  <c r="AC8" i="1"/>
  <c r="AC11" i="1" s="1"/>
  <c r="P9" i="1"/>
  <c r="AB9" i="1"/>
  <c r="V6" i="1"/>
  <c r="J6" i="1"/>
  <c r="H6" i="1" s="1"/>
  <c r="T5" i="1"/>
  <c r="AF5" i="1"/>
  <c r="S7" i="1"/>
  <c r="AE7" i="1"/>
  <c r="R8" i="1"/>
  <c r="R11" i="1" s="1"/>
  <c r="AG6" i="1"/>
  <c r="U6" i="1"/>
  <c r="U5" i="1"/>
  <c r="AG5" i="1"/>
  <c r="T7" i="1"/>
  <c r="AF7" i="1"/>
  <c r="S8" i="1"/>
  <c r="S11" i="1" s="1"/>
  <c r="S14" i="1" s="1"/>
  <c r="AE8" i="1"/>
  <c r="AE11" i="1" s="1"/>
  <c r="R9" i="1"/>
  <c r="AD9" i="1"/>
  <c r="AF6" i="1"/>
  <c r="T6" i="1"/>
  <c r="J5" i="1"/>
  <c r="V5" i="1"/>
  <c r="U7" i="1"/>
  <c r="AG7" i="1"/>
  <c r="T8" i="1"/>
  <c r="T11" i="1" s="1"/>
  <c r="T14" i="1" s="1"/>
  <c r="AF8" i="1"/>
  <c r="AF11" i="1" s="1"/>
  <c r="AF14" i="1" s="1"/>
  <c r="S9" i="1"/>
  <c r="AE9" i="1"/>
  <c r="AE6" i="1"/>
  <c r="S6" i="1"/>
  <c r="K5" i="1"/>
  <c r="W5" i="1"/>
  <c r="J7" i="1"/>
  <c r="V7" i="1"/>
  <c r="U8" i="1"/>
  <c r="U11" i="1" s="1"/>
  <c r="AG8" i="1"/>
  <c r="AG11" i="1" s="1"/>
  <c r="T9" i="1"/>
  <c r="AF9" i="1"/>
  <c r="AD6" i="1"/>
  <c r="R6" i="1"/>
  <c r="L5" i="1"/>
  <c r="X5" i="1"/>
  <c r="K7" i="1"/>
  <c r="W7" i="1"/>
  <c r="J8" i="1"/>
  <c r="V8" i="1"/>
  <c r="V11" i="1" s="1"/>
  <c r="U9" i="1"/>
  <c r="AG9" i="1"/>
  <c r="AC6" i="1"/>
  <c r="Q6" i="1"/>
  <c r="M5" i="1"/>
  <c r="Y5" i="1"/>
  <c r="L7" i="1"/>
  <c r="X7" i="1"/>
  <c r="K8" i="1"/>
  <c r="K11" i="1" s="1"/>
  <c r="K14" i="1" s="1"/>
  <c r="W8" i="1"/>
  <c r="W11" i="1" s="1"/>
  <c r="J9" i="1"/>
  <c r="V9" i="1"/>
  <c r="Q9" i="1"/>
  <c r="AB6" i="1"/>
  <c r="P6" i="1"/>
  <c r="N5" i="1"/>
  <c r="Z5" i="1"/>
  <c r="M7" i="1"/>
  <c r="Y7" i="1"/>
  <c r="L8" i="1"/>
  <c r="L11" i="1" s="1"/>
  <c r="X8" i="1"/>
  <c r="X11" i="1" s="1"/>
  <c r="K9" i="1"/>
  <c r="W9" i="1"/>
  <c r="AE14" i="1"/>
  <c r="AG14" i="1"/>
  <c r="I29" i="1"/>
  <c r="J26" i="1" s="1"/>
  <c r="I14" i="1"/>
  <c r="I15" i="1" s="1"/>
  <c r="J12" i="1" s="1"/>
  <c r="O14" i="1"/>
  <c r="U14" i="1"/>
  <c r="V14" i="1"/>
  <c r="AA14" i="1"/>
  <c r="W14" i="1"/>
  <c r="L14" i="1"/>
  <c r="X14" i="1"/>
  <c r="M14" i="1"/>
  <c r="Y14" i="1"/>
  <c r="Z14" i="1"/>
  <c r="Q14" i="1"/>
  <c r="AC14" i="1"/>
  <c r="R14" i="1"/>
  <c r="AD14" i="1"/>
  <c r="H9" i="1" l="1"/>
  <c r="H8" i="1"/>
  <c r="J11" i="1"/>
  <c r="J14" i="1" s="1"/>
  <c r="H14" i="1" s="1"/>
  <c r="H7" i="1"/>
  <c r="H11" i="1"/>
  <c r="J15" i="1"/>
  <c r="K12" i="1" s="1"/>
  <c r="I21" i="1"/>
  <c r="K15" i="1"/>
  <c r="L12" i="1" s="1"/>
  <c r="J28" i="1"/>
  <c r="J29" i="1" s="1"/>
  <c r="K26" i="1" s="1"/>
  <c r="W17" i="1" l="1"/>
  <c r="W19" i="1" s="1"/>
  <c r="J20" i="1"/>
  <c r="V20" i="1"/>
  <c r="I20" i="1"/>
  <c r="K20" i="1"/>
  <c r="W20" i="1"/>
  <c r="Y20" i="1"/>
  <c r="L20" i="1"/>
  <c r="X20" i="1"/>
  <c r="M20" i="1"/>
  <c r="AA20" i="1"/>
  <c r="N20" i="1"/>
  <c r="AB20" i="1"/>
  <c r="Z20" i="1"/>
  <c r="O20" i="1"/>
  <c r="P20" i="1"/>
  <c r="Q20" i="1"/>
  <c r="R20" i="1"/>
  <c r="AD20" i="1"/>
  <c r="S20" i="1"/>
  <c r="AE20" i="1"/>
  <c r="T20" i="1"/>
  <c r="U20" i="1"/>
  <c r="AF20" i="1"/>
  <c r="AG20" i="1"/>
  <c r="AC20" i="1"/>
  <c r="X17" i="1"/>
  <c r="X19" i="1" s="1"/>
  <c r="AA17" i="1"/>
  <c r="AA19" i="1" s="1"/>
  <c r="V17" i="1"/>
  <c r="V19" i="1" s="1"/>
  <c r="S17" i="1"/>
  <c r="S19" i="1" s="1"/>
  <c r="O17" i="1"/>
  <c r="O19" i="1" s="1"/>
  <c r="N17" i="1"/>
  <c r="N19" i="1" s="1"/>
  <c r="AB17" i="1"/>
  <c r="AB19" i="1" s="1"/>
  <c r="K17" i="1"/>
  <c r="K19" i="1" s="1"/>
  <c r="Y17" i="1"/>
  <c r="Y19" i="1" s="1"/>
  <c r="AG17" i="1"/>
  <c r="AG19" i="1" s="1"/>
  <c r="R17" i="1"/>
  <c r="R19" i="1" s="1"/>
  <c r="U17" i="1"/>
  <c r="U19" i="1" s="1"/>
  <c r="M17" i="1"/>
  <c r="M19" i="1" s="1"/>
  <c r="L17" i="1"/>
  <c r="L19" i="1" s="1"/>
  <c r="AF17" i="1"/>
  <c r="AF19" i="1" s="1"/>
  <c r="J17" i="1"/>
  <c r="J19" i="1" s="1"/>
  <c r="Q17" i="1"/>
  <c r="Q19" i="1" s="1"/>
  <c r="AD17" i="1"/>
  <c r="AD19" i="1" s="1"/>
  <c r="P17" i="1"/>
  <c r="P19" i="1" s="1"/>
  <c r="T17" i="1"/>
  <c r="T19" i="1" s="1"/>
  <c r="AC17" i="1"/>
  <c r="AC19" i="1" s="1"/>
  <c r="AE17" i="1"/>
  <c r="AE19" i="1" s="1"/>
  <c r="Z17" i="1"/>
  <c r="Z19" i="1" s="1"/>
  <c r="L15" i="1"/>
  <c r="M12" i="1" s="1"/>
  <c r="J21" i="1"/>
  <c r="J22" i="1" s="1"/>
  <c r="K28" i="1"/>
  <c r="K21" i="1" s="1"/>
  <c r="K22" i="1" s="1"/>
  <c r="H20" i="1" l="1"/>
  <c r="K29" i="1"/>
  <c r="L26" i="1" s="1"/>
  <c r="L28" i="1" s="1"/>
  <c r="L21" i="1" s="1"/>
  <c r="L22" i="1" s="1"/>
  <c r="M15" i="1"/>
  <c r="N12" i="1" s="1"/>
  <c r="N15" i="1" l="1"/>
  <c r="O12" i="1" s="1"/>
  <c r="L29" i="1"/>
  <c r="M26" i="1" s="1"/>
  <c r="O15" i="1" l="1"/>
  <c r="P12" i="1" s="1"/>
  <c r="M28" i="1"/>
  <c r="M21" i="1" l="1"/>
  <c r="M22" i="1" s="1"/>
  <c r="P15" i="1"/>
  <c r="Q12" i="1" s="1"/>
  <c r="M29" i="1"/>
  <c r="N26" i="1" s="1"/>
  <c r="Q15" i="1" l="1"/>
  <c r="R12" i="1" s="1"/>
  <c r="N28" i="1"/>
  <c r="N29" i="1" s="1"/>
  <c r="O26" i="1" s="1"/>
  <c r="N21" i="1" l="1"/>
  <c r="N22" i="1" s="1"/>
  <c r="R15" i="1"/>
  <c r="S12" i="1" s="1"/>
  <c r="O28" i="1"/>
  <c r="O21" i="1" s="1"/>
  <c r="O22" i="1" s="1"/>
  <c r="O29" i="1" l="1"/>
  <c r="P26" i="1" s="1"/>
  <c r="S15" i="1"/>
  <c r="T12" i="1" s="1"/>
  <c r="T15" i="1" l="1"/>
  <c r="U12" i="1" s="1"/>
  <c r="P28" i="1"/>
  <c r="P21" i="1" s="1"/>
  <c r="P22" i="1" s="1"/>
  <c r="P29" i="1" l="1"/>
  <c r="Q26" i="1" s="1"/>
  <c r="Q28" i="1" s="1"/>
  <c r="Q21" i="1" s="1"/>
  <c r="Q22" i="1" s="1"/>
  <c r="U15" i="1"/>
  <c r="V12" i="1" s="1"/>
  <c r="Q29" i="1" l="1"/>
  <c r="R26" i="1" s="1"/>
  <c r="V15" i="1"/>
  <c r="W12" i="1" s="1"/>
  <c r="W15" i="1" l="1"/>
  <c r="X12" i="1" s="1"/>
  <c r="R28" i="1"/>
  <c r="R21" i="1" s="1"/>
  <c r="R22" i="1" s="1"/>
  <c r="R29" i="1" l="1"/>
  <c r="S26" i="1" s="1"/>
  <c r="X15" i="1"/>
  <c r="Y12" i="1" s="1"/>
  <c r="Y15" i="1" l="1"/>
  <c r="Z12" i="1" s="1"/>
  <c r="S28" i="1"/>
  <c r="S21" i="1" s="1"/>
  <c r="S22" i="1" s="1"/>
  <c r="S29" i="1" l="1"/>
  <c r="T26" i="1" s="1"/>
  <c r="T28" i="1" s="1"/>
  <c r="T21" i="1" s="1"/>
  <c r="T22" i="1" s="1"/>
  <c r="Z15" i="1"/>
  <c r="AA12" i="1" s="1"/>
  <c r="AA15" i="1" l="1"/>
  <c r="AB12" i="1" s="1"/>
  <c r="T29" i="1"/>
  <c r="U26" i="1" s="1"/>
  <c r="AB15" i="1" l="1"/>
  <c r="AC12" i="1" s="1"/>
  <c r="U28" i="1"/>
  <c r="U21" i="1" s="1"/>
  <c r="U22" i="1" s="1"/>
  <c r="U29" i="1" l="1"/>
  <c r="V26" i="1" s="1"/>
  <c r="V28" i="1" s="1"/>
  <c r="V21" i="1" s="1"/>
  <c r="V22" i="1" s="1"/>
  <c r="AC15" i="1"/>
  <c r="AD12" i="1" s="1"/>
  <c r="AD15" i="1" l="1"/>
  <c r="AE12" i="1" s="1"/>
  <c r="V29" i="1"/>
  <c r="W26" i="1" s="1"/>
  <c r="AE15" i="1" l="1"/>
  <c r="AF12" i="1" s="1"/>
  <c r="W28" i="1"/>
  <c r="W21" i="1" s="1"/>
  <c r="W22" i="1" s="1"/>
  <c r="W29" i="1" l="1"/>
  <c r="X26" i="1" s="1"/>
  <c r="AF15" i="1"/>
  <c r="AG12" i="1" s="1"/>
  <c r="X28" i="1" l="1"/>
  <c r="X21" i="1" s="1"/>
  <c r="X22" i="1" s="1"/>
  <c r="AG15" i="1"/>
  <c r="H27" i="1"/>
  <c r="X29" i="1" l="1"/>
  <c r="Y26" i="1" s="1"/>
  <c r="Y28" i="1" l="1"/>
  <c r="Y21" i="1" s="1"/>
  <c r="Y22" i="1" s="1"/>
  <c r="Y29" i="1" l="1"/>
  <c r="Z26" i="1" s="1"/>
  <c r="Z28" i="1" s="1"/>
  <c r="Z21" i="1" s="1"/>
  <c r="Z22" i="1" s="1"/>
  <c r="Z29" i="1" l="1"/>
  <c r="AA26" i="1" s="1"/>
  <c r="AA28" i="1" s="1"/>
  <c r="AA21" i="1" s="1"/>
  <c r="AA22" i="1" s="1"/>
  <c r="AA29" i="1" l="1"/>
  <c r="AB26" i="1" s="1"/>
  <c r="AB28" i="1" s="1"/>
  <c r="AB21" i="1" s="1"/>
  <c r="AB22" i="1" s="1"/>
  <c r="AB29" i="1" l="1"/>
  <c r="AC26" i="1" s="1"/>
  <c r="AC28" i="1" l="1"/>
  <c r="AC21" i="1" s="1"/>
  <c r="AC22" i="1" s="1"/>
  <c r="AC29" i="1" l="1"/>
  <c r="AD26" i="1" s="1"/>
  <c r="AD28" i="1" s="1"/>
  <c r="AD21" i="1" s="1"/>
  <c r="AD22" i="1" s="1"/>
  <c r="AD29" i="1" l="1"/>
  <c r="AE26" i="1" s="1"/>
  <c r="AE28" i="1" s="1"/>
  <c r="AE21" i="1" s="1"/>
  <c r="AE22" i="1" s="1"/>
  <c r="AE29" i="1" l="1"/>
  <c r="AF26" i="1" s="1"/>
  <c r="AF28" i="1" s="1"/>
  <c r="AF21" i="1" s="1"/>
  <c r="AF22" i="1" s="1"/>
  <c r="AF29" i="1" l="1"/>
  <c r="AG26" i="1" s="1"/>
  <c r="AG28" i="1" s="1"/>
  <c r="AG29" i="1" s="1"/>
  <c r="AG21" i="1" l="1"/>
  <c r="AG22" i="1" s="1"/>
  <c r="H28" i="1"/>
  <c r="H21" i="1" l="1"/>
  <c r="H5" i="1" l="1"/>
  <c r="I17" i="1"/>
  <c r="I19" i="1"/>
  <c r="H19" i="1" l="1"/>
  <c r="I22" i="1"/>
  <c r="H2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<sst xmlns="http://schemas.openxmlformats.org/spreadsheetml/2006/main" count="50" uniqueCount="34">
  <si>
    <t>Linear Repayment</t>
  </si>
  <si>
    <t>Start</t>
  </si>
  <si>
    <t>End</t>
  </si>
  <si>
    <t>Commitment period flag</t>
  </si>
  <si>
    <t>[1,0]</t>
  </si>
  <si>
    <t>Upfront period flag</t>
  </si>
  <si>
    <t>Grace period flag</t>
  </si>
  <si>
    <t>Interest payment flag</t>
  </si>
  <si>
    <t>Payment plan</t>
  </si>
  <si>
    <t>%</t>
  </si>
  <si>
    <t>Balance b/f</t>
  </si>
  <si>
    <t>$'000</t>
  </si>
  <si>
    <t>Drawdown</t>
  </si>
  <si>
    <t>Principal repayment</t>
  </si>
  <si>
    <t>Balance c/f</t>
  </si>
  <si>
    <t>Commited capital</t>
  </si>
  <si>
    <t>%/$</t>
  </si>
  <si>
    <t>Esc.</t>
  </si>
  <si>
    <t>Interest on commited capital</t>
  </si>
  <si>
    <t>% p.a.</t>
  </si>
  <si>
    <t>Upfront fee</t>
  </si>
  <si>
    <t>All-in interest expense</t>
  </si>
  <si>
    <t>Total interest expense</t>
  </si>
  <si>
    <t>Cash available for interest on witdrawn capital</t>
  </si>
  <si>
    <t>Debt Interest Liability - b/f</t>
  </si>
  <si>
    <t xml:space="preserve">Interest Payable </t>
  </si>
  <si>
    <t xml:space="preserve">Interest Payment </t>
  </si>
  <si>
    <t>Debt Interest Liability - c/f</t>
  </si>
  <si>
    <t>Adam Smith</t>
  </si>
  <si>
    <t>Martin Luter</t>
  </si>
  <si>
    <t>Ad</t>
  </si>
  <si>
    <t>Soyad</t>
  </si>
  <si>
    <t>Principal repayment flag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</si>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</sst>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\-yy;@"/>
    <numFmt numFmtId="165" formatCode="_(* #,##0_);* \(#,##0\);_-* &quot;-&quot;??;_-@_-"/>
    <numFmt numFmtId="167" formatCode="&quot;Manual&quot;;;&quot;Calculation&quot;"/>
    <numFmt numFmtId="168" formatCode="_(* #,##0.00%_);_(* \(#,##0.00%\);_-* &quot;-&quot;??;_-@_-"/>
    <numFmt numFmtId="171" formatCode="_(* #,##0_);_(* \(#,##0\);_(* &quot;-&quot;??_);_(@_)"/>
    <numFmt numFmtId="172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B2B40"/>
      <name val="Tahoma"/>
      <family val="2"/>
    </font>
    <font>
      <b/>
      <sz val="12"/>
      <name val="Tahoma"/>
      <family val="2"/>
    </font>
    <font>
      <sz val="11"/>
      <color rgb="FF737373"/>
      <name val="Tahoma"/>
      <family val="2"/>
    </font>
    <font>
      <b/>
      <sz val="11"/>
      <color theme="0"/>
      <name val="Tahoma"/>
      <family val="2"/>
    </font>
    <font>
      <sz val="11"/>
      <color rgb="FF3F5B73"/>
      <name val="Tahoma"/>
      <family val="2"/>
    </font>
    <font>
      <sz val="11"/>
      <color rgb="FFA6A6A6"/>
      <name val="Tahoma"/>
      <family val="2"/>
    </font>
    <font>
      <sz val="11"/>
      <color theme="1"/>
      <name val="Tahoma"/>
      <family val="2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B2B4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73737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3F5B73"/>
      <name val="Aptos Narrow"/>
      <family val="2"/>
      <scheme val="minor"/>
    </font>
    <font>
      <sz val="10"/>
      <color rgb="FFA6A6A6"/>
      <name val="Aptos Narrow"/>
      <family val="2"/>
      <scheme val="minor"/>
    </font>
    <font>
      <b/>
      <sz val="10"/>
      <color rgb="FF1B2B40"/>
      <name val="Aptos Narrow"/>
      <family val="2"/>
      <scheme val="minor"/>
    </font>
    <font>
      <b/>
      <sz val="10"/>
      <color rgb="FF73737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8A04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lightUp">
        <fgColor rgb="FFD9D9D9"/>
      </patternFill>
    </fill>
    <fill>
      <patternFill patternType="lightTrellis">
        <fgColor rgb="FFA6A6A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1B2B40"/>
      </left>
      <right style="thin">
        <color rgb="FF1B2B40"/>
      </right>
      <top style="thin">
        <color rgb="FF1B2B40"/>
      </top>
      <bottom style="thin">
        <color rgb="FF1B2B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Fill="0" applyBorder="0" applyAlignment="0" applyProtection="0"/>
    <xf numFmtId="0" fontId="4" fillId="0" borderId="0" applyNumberFormat="0" applyFill="0" applyBorder="0" applyAlignment="0" applyProtection="0"/>
    <xf numFmtId="0" fontId="5" fillId="2" borderId="1" applyNumberFormat="0" applyProtection="0">
      <alignment horizontal="centerContinuous"/>
    </xf>
    <xf numFmtId="0" fontId="6" fillId="3" borderId="2" applyNumberFormat="0" applyAlignment="0" applyProtection="0">
      <alignment horizontal="right" vertical="top" wrapText="1"/>
      <protection locked="0"/>
    </xf>
    <xf numFmtId="0" fontId="2" fillId="4" borderId="3" applyNumberFormat="0" applyAlignment="0" applyProtection="0"/>
    <xf numFmtId="165" fontId="7" fillId="5" borderId="4" applyAlignment="0" applyProtection="0"/>
    <xf numFmtId="168" fontId="2" fillId="0" borderId="0" applyFill="0" applyBorder="0" applyAlignment="0" applyProtection="0"/>
    <xf numFmtId="165" fontId="8" fillId="0" borderId="0" applyFill="0" applyBorder="0" applyAlignment="0" applyProtection="0"/>
    <xf numFmtId="0" fontId="2" fillId="6" borderId="4" applyNumberFormat="0" applyAlignment="0" applyProtection="0"/>
  </cellStyleXfs>
  <cellXfs count="32">
    <xf numFmtId="0" fontId="0" fillId="0" borderId="0" xfId="0"/>
    <xf numFmtId="0" fontId="9" fillId="0" borderId="0" xfId="0" applyFont="1"/>
    <xf numFmtId="49" fontId="0" fillId="0" borderId="0" xfId="0" applyNumberFormat="1"/>
    <xf numFmtId="0" fontId="10" fillId="0" borderId="0" xfId="0" applyFont="1"/>
    <xf numFmtId="0" fontId="11" fillId="0" borderId="0" xfId="0" applyFont="1"/>
    <xf numFmtId="0" fontId="13" fillId="0" borderId="0" xfId="4" applyFont="1"/>
    <xf numFmtId="0" fontId="14" fillId="0" borderId="0" xfId="5" applyFont="1"/>
    <xf numFmtId="0" fontId="15" fillId="7" borderId="1" xfId="6" applyFont="1" applyFill="1">
      <alignment horizontal="centerContinuous"/>
    </xf>
    <xf numFmtId="0" fontId="12" fillId="0" borderId="0" xfId="3" applyFont="1"/>
    <xf numFmtId="164" fontId="16" fillId="3" borderId="2" xfId="7" applyNumberFormat="1" applyFont="1" applyAlignment="1" applyProtection="1"/>
    <xf numFmtId="165" fontId="12" fillId="8" borderId="3" xfId="8" applyNumberFormat="1" applyFont="1" applyFill="1"/>
    <xf numFmtId="165" fontId="17" fillId="5" borderId="4" xfId="9" applyFont="1"/>
    <xf numFmtId="43" fontId="16" fillId="3" borderId="2" xfId="1" applyFont="1" applyFill="1" applyBorder="1" applyAlignment="1" applyProtection="1"/>
    <xf numFmtId="165" fontId="12" fillId="0" borderId="0" xfId="3" applyNumberFormat="1" applyFont="1"/>
    <xf numFmtId="167" fontId="16" fillId="3" borderId="2" xfId="7" applyNumberFormat="1" applyFont="1">
      <alignment horizontal="right" vertical="top" wrapText="1"/>
      <protection locked="0"/>
    </xf>
    <xf numFmtId="172" fontId="12" fillId="8" borderId="3" xfId="2" applyNumberFormat="1" applyFont="1" applyFill="1" applyBorder="1"/>
    <xf numFmtId="9" fontId="12" fillId="0" borderId="6" xfId="1" applyNumberFormat="1" applyFont="1" applyBorder="1"/>
    <xf numFmtId="0" fontId="14" fillId="0" borderId="0" xfId="5" quotePrefix="1" applyFont="1"/>
    <xf numFmtId="171" fontId="12" fillId="0" borderId="6" xfId="1" applyNumberFormat="1" applyFont="1" applyBorder="1"/>
    <xf numFmtId="165" fontId="16" fillId="3" borderId="2" xfId="7" applyNumberFormat="1" applyFont="1" applyAlignment="1" applyProtection="1"/>
    <xf numFmtId="0" fontId="18" fillId="0" borderId="0" xfId="3" applyFont="1"/>
    <xf numFmtId="0" fontId="19" fillId="0" borderId="0" xfId="5" quotePrefix="1" applyFont="1"/>
    <xf numFmtId="165" fontId="18" fillId="6" borderId="4" xfId="12" applyNumberFormat="1" applyFont="1" applyAlignment="1"/>
    <xf numFmtId="171" fontId="18" fillId="0" borderId="5" xfId="1" applyNumberFormat="1" applyFont="1" applyBorder="1"/>
    <xf numFmtId="171" fontId="18" fillId="0" borderId="6" xfId="1" applyNumberFormat="1" applyFont="1" applyBorder="1"/>
    <xf numFmtId="168" fontId="16" fillId="3" borderId="2" xfId="10" applyFont="1" applyFill="1" applyBorder="1" applyAlignment="1" applyProtection="1"/>
    <xf numFmtId="165" fontId="18" fillId="8" borderId="3" xfId="8" applyNumberFormat="1" applyFont="1" applyFill="1"/>
    <xf numFmtId="165" fontId="12" fillId="0" borderId="5" xfId="11" applyFont="1" applyBorder="1"/>
    <xf numFmtId="171" fontId="12" fillId="0" borderId="0" xfId="1" applyNumberFormat="1" applyFont="1"/>
    <xf numFmtId="0" fontId="18" fillId="6" borderId="4" xfId="12" applyFont="1"/>
    <xf numFmtId="165" fontId="18" fillId="0" borderId="5" xfId="11" applyFont="1" applyBorder="1"/>
    <xf numFmtId="15" fontId="18" fillId="0" borderId="0" xfId="3" applyNumberFormat="1" applyFont="1"/>
  </cellXfs>
  <cellStyles count="13">
    <cellStyle name="22 Row_Sum" xfId="8" xr:uid="{6CD24875-45B0-4604-926C-3A6B7DF94431}"/>
    <cellStyle name="Comma" xfId="1" builtinId="3"/>
    <cellStyle name="Comma[0]" xfId="11" xr:uid="{CEBAC90C-763A-4E08-9300-AAE9A5CF5564}"/>
    <cellStyle name="Empty" xfId="12" xr:uid="{2D148860-5C31-441E-A774-C2AF6645BB2F}"/>
    <cellStyle name="Flag" xfId="9" xr:uid="{CF25E604-9CD1-4F78-BFFC-5E8460902765}"/>
    <cellStyle name="H2" xfId="4" xr:uid="{CECCEE63-296E-42F4-82FD-E3B9B09D993F}"/>
    <cellStyle name="Normal" xfId="0" builtinId="0"/>
    <cellStyle name="Normal 2" xfId="3" xr:uid="{FB5B1951-91C6-4349-8F3D-0427D4EDA645}"/>
    <cellStyle name="Offsheet" xfId="7" xr:uid="{CE9E2375-EC6D-4BDE-9DAF-E926C0330CF9}"/>
    <cellStyle name="Percent" xfId="2" builtinId="5"/>
    <cellStyle name="Percent 2" xfId="10" xr:uid="{0626FDA5-F223-4659-AD0A-198F45EF608A}"/>
    <cellStyle name="Table" xfId="6" xr:uid="{31333E99-AF2C-4790-8558-B0DC337D8DA3}"/>
    <cellStyle name="Unit" xfId="5" xr:uid="{541AD0C7-73DB-41AF-A77A-EBFE528618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E593-1CAD-4F65-9D34-812DC028671B}">
  <dimension ref="B2:FT30"/>
  <sheetViews>
    <sheetView showGridLines="0" tabSelected="1" zoomScale="92" workbookViewId="0">
      <selection activeCell="F14" sqref="F14"/>
    </sheetView>
  </sheetViews>
  <sheetFormatPr defaultColWidth="0" defaultRowHeight="13.8" x14ac:dyDescent="0.3"/>
  <cols>
    <col min="1" max="1" width="8.88671875" style="4" customWidth="1"/>
    <col min="2" max="2" width="42.109375" style="4" bestFit="1" customWidth="1"/>
    <col min="3" max="3" width="6.88671875" style="4" bestFit="1" customWidth="1"/>
    <col min="4" max="4" width="9.33203125" style="4" bestFit="1" customWidth="1"/>
    <col min="5" max="5" width="10.21875" style="4" bestFit="1" customWidth="1"/>
    <col min="6" max="6" width="9.33203125" style="4" bestFit="1" customWidth="1"/>
    <col min="7" max="7" width="8.88671875" style="4" customWidth="1"/>
    <col min="8" max="8" width="12.77734375" style="4" customWidth="1"/>
    <col min="9" max="33" width="11.77734375" style="4" customWidth="1"/>
    <col min="34" max="34" width="8.88671875" style="4" customWidth="1"/>
    <col min="35" max="16384" width="8.88671875" style="4" hidden="1"/>
  </cols>
  <sheetData>
    <row r="2" spans="2:176" ht="18" x14ac:dyDescent="0.35">
      <c r="B2" s="1" t="s">
        <v>0</v>
      </c>
    </row>
    <row r="3" spans="2:176" x14ac:dyDescent="0.3">
      <c r="I3" s="31">
        <v>47484</v>
      </c>
      <c r="J3" s="31">
        <f>I4+1</f>
        <v>47849</v>
      </c>
      <c r="K3" s="31">
        <f>J4+1</f>
        <v>48214</v>
      </c>
      <c r="L3" s="31">
        <f t="shared" ref="L3:AG3" si="0">K4+1</f>
        <v>48580</v>
      </c>
      <c r="M3" s="31">
        <f t="shared" si="0"/>
        <v>48945</v>
      </c>
      <c r="N3" s="31">
        <f t="shared" si="0"/>
        <v>49310</v>
      </c>
      <c r="O3" s="31">
        <f t="shared" si="0"/>
        <v>49675</v>
      </c>
      <c r="P3" s="31">
        <f t="shared" si="0"/>
        <v>50041</v>
      </c>
      <c r="Q3" s="31">
        <f t="shared" si="0"/>
        <v>50406</v>
      </c>
      <c r="R3" s="31">
        <f t="shared" si="0"/>
        <v>50771</v>
      </c>
      <c r="S3" s="31">
        <f t="shared" si="0"/>
        <v>51136</v>
      </c>
      <c r="T3" s="31">
        <f t="shared" si="0"/>
        <v>51502</v>
      </c>
      <c r="U3" s="31">
        <f t="shared" si="0"/>
        <v>51867</v>
      </c>
      <c r="V3" s="31">
        <f t="shared" si="0"/>
        <v>52232</v>
      </c>
      <c r="W3" s="31">
        <f t="shared" si="0"/>
        <v>52597</v>
      </c>
      <c r="X3" s="31">
        <f t="shared" si="0"/>
        <v>52963</v>
      </c>
      <c r="Y3" s="31">
        <f t="shared" si="0"/>
        <v>53328</v>
      </c>
      <c r="Z3" s="31">
        <f t="shared" si="0"/>
        <v>53693</v>
      </c>
      <c r="AA3" s="31">
        <f t="shared" si="0"/>
        <v>54058</v>
      </c>
      <c r="AB3" s="31">
        <f t="shared" si="0"/>
        <v>54424</v>
      </c>
      <c r="AC3" s="31">
        <f t="shared" si="0"/>
        <v>54789</v>
      </c>
      <c r="AD3" s="31">
        <f t="shared" si="0"/>
        <v>55154</v>
      </c>
      <c r="AE3" s="31">
        <f t="shared" si="0"/>
        <v>55519</v>
      </c>
      <c r="AF3" s="31">
        <f t="shared" si="0"/>
        <v>55885</v>
      </c>
      <c r="AG3" s="31">
        <f t="shared" si="0"/>
        <v>56250</v>
      </c>
    </row>
    <row r="4" spans="2:176" x14ac:dyDescent="0.3">
      <c r="B4" s="5"/>
      <c r="C4" s="6"/>
      <c r="D4" s="7" t="s">
        <v>1</v>
      </c>
      <c r="E4" s="7" t="s">
        <v>2</v>
      </c>
      <c r="F4" s="8"/>
      <c r="G4" s="8"/>
      <c r="H4" s="8"/>
      <c r="I4" s="31">
        <v>47848</v>
      </c>
      <c r="J4" s="31">
        <f>DATE(YEAR(J3),12,31)</f>
        <v>48213</v>
      </c>
      <c r="K4" s="31">
        <f>DATE(YEAR(K3),12,31)</f>
        <v>48579</v>
      </c>
      <c r="L4" s="31">
        <f t="shared" ref="L4:AG4" si="1">DATE(YEAR(L3),12,31)</f>
        <v>48944</v>
      </c>
      <c r="M4" s="31">
        <f t="shared" si="1"/>
        <v>49309</v>
      </c>
      <c r="N4" s="31">
        <f t="shared" si="1"/>
        <v>49674</v>
      </c>
      <c r="O4" s="31">
        <f t="shared" si="1"/>
        <v>50040</v>
      </c>
      <c r="P4" s="31">
        <f t="shared" si="1"/>
        <v>50405</v>
      </c>
      <c r="Q4" s="31">
        <f t="shared" si="1"/>
        <v>50770</v>
      </c>
      <c r="R4" s="31">
        <f t="shared" si="1"/>
        <v>51135</v>
      </c>
      <c r="S4" s="31">
        <f t="shared" si="1"/>
        <v>51501</v>
      </c>
      <c r="T4" s="31">
        <f t="shared" si="1"/>
        <v>51866</v>
      </c>
      <c r="U4" s="31">
        <f t="shared" si="1"/>
        <v>52231</v>
      </c>
      <c r="V4" s="31">
        <f t="shared" si="1"/>
        <v>52596</v>
      </c>
      <c r="W4" s="31">
        <f t="shared" si="1"/>
        <v>52962</v>
      </c>
      <c r="X4" s="31">
        <f t="shared" si="1"/>
        <v>53327</v>
      </c>
      <c r="Y4" s="31">
        <f t="shared" si="1"/>
        <v>53692</v>
      </c>
      <c r="Z4" s="31">
        <f t="shared" si="1"/>
        <v>54057</v>
      </c>
      <c r="AA4" s="31">
        <f t="shared" si="1"/>
        <v>54423</v>
      </c>
      <c r="AB4" s="31">
        <f t="shared" si="1"/>
        <v>54788</v>
      </c>
      <c r="AC4" s="31">
        <f t="shared" si="1"/>
        <v>55153</v>
      </c>
      <c r="AD4" s="31">
        <f t="shared" si="1"/>
        <v>55518</v>
      </c>
      <c r="AE4" s="31">
        <f t="shared" si="1"/>
        <v>55884</v>
      </c>
      <c r="AF4" s="31">
        <f t="shared" si="1"/>
        <v>56249</v>
      </c>
      <c r="AG4" s="31">
        <f t="shared" si="1"/>
        <v>56614</v>
      </c>
    </row>
    <row r="5" spans="2:176" x14ac:dyDescent="0.3">
      <c r="B5" s="8" t="s">
        <v>3</v>
      </c>
      <c r="C5" s="6" t="s">
        <v>4</v>
      </c>
      <c r="D5" s="9">
        <v>47484</v>
      </c>
      <c r="E5" s="9">
        <v>49674</v>
      </c>
      <c r="F5" s="8"/>
      <c r="G5" s="8"/>
      <c r="H5" s="10">
        <f>SUM(I5:AG5)</f>
        <v>6</v>
      </c>
      <c r="I5" s="11">
        <f t="shared" ref="I5:AG5" si="2">IF(AND(I$3&gt;=$D5,I$4&lt;=$E5),1,0)</f>
        <v>1</v>
      </c>
      <c r="J5" s="11">
        <f t="shared" si="2"/>
        <v>1</v>
      </c>
      <c r="K5" s="11">
        <f t="shared" si="2"/>
        <v>1</v>
      </c>
      <c r="L5" s="11">
        <f t="shared" si="2"/>
        <v>1</v>
      </c>
      <c r="M5" s="11">
        <f t="shared" si="2"/>
        <v>1</v>
      </c>
      <c r="N5" s="11">
        <f t="shared" si="2"/>
        <v>1</v>
      </c>
      <c r="O5" s="11">
        <f t="shared" si="2"/>
        <v>0</v>
      </c>
      <c r="P5" s="11">
        <f t="shared" si="2"/>
        <v>0</v>
      </c>
      <c r="Q5" s="11">
        <f t="shared" si="2"/>
        <v>0</v>
      </c>
      <c r="R5" s="11">
        <f t="shared" si="2"/>
        <v>0</v>
      </c>
      <c r="S5" s="11">
        <f t="shared" si="2"/>
        <v>0</v>
      </c>
      <c r="T5" s="11">
        <f t="shared" si="2"/>
        <v>0</v>
      </c>
      <c r="U5" s="11">
        <f t="shared" si="2"/>
        <v>0</v>
      </c>
      <c r="V5" s="11">
        <f t="shared" si="2"/>
        <v>0</v>
      </c>
      <c r="W5" s="11">
        <f t="shared" si="2"/>
        <v>0</v>
      </c>
      <c r="X5" s="11">
        <f t="shared" si="2"/>
        <v>0</v>
      </c>
      <c r="Y5" s="11">
        <f t="shared" si="2"/>
        <v>0</v>
      </c>
      <c r="Z5" s="11">
        <f t="shared" si="2"/>
        <v>0</v>
      </c>
      <c r="AA5" s="11">
        <f t="shared" si="2"/>
        <v>0</v>
      </c>
      <c r="AB5" s="11">
        <f t="shared" si="2"/>
        <v>0</v>
      </c>
      <c r="AC5" s="11">
        <f t="shared" si="2"/>
        <v>0</v>
      </c>
      <c r="AD5" s="11">
        <f t="shared" si="2"/>
        <v>0</v>
      </c>
      <c r="AE5" s="11">
        <f t="shared" si="2"/>
        <v>0</v>
      </c>
      <c r="AF5" s="11">
        <f t="shared" si="2"/>
        <v>0</v>
      </c>
      <c r="AG5" s="11">
        <f t="shared" si="2"/>
        <v>0</v>
      </c>
    </row>
    <row r="6" spans="2:176" x14ac:dyDescent="0.3">
      <c r="B6" s="8" t="s">
        <v>5</v>
      </c>
      <c r="C6" s="6" t="s">
        <v>4</v>
      </c>
      <c r="D6" s="9">
        <v>47484</v>
      </c>
      <c r="E6" s="9">
        <v>47848</v>
      </c>
      <c r="F6" s="8"/>
      <c r="G6" s="8"/>
      <c r="H6" s="10">
        <f t="shared" ref="H6:H9" si="3">SUM(I6:AG6)</f>
        <v>1</v>
      </c>
      <c r="I6" s="11">
        <f>IF(AND(I$3&gt;=$D6,I$4&lt;=$E6),1,0)</f>
        <v>1</v>
      </c>
      <c r="J6" s="11">
        <f t="shared" ref="J6:AG7" si="4">IF(AND(J$3&gt;=$D6,J$4&lt;=$E6),1,0)</f>
        <v>0</v>
      </c>
      <c r="K6" s="11">
        <f t="shared" si="4"/>
        <v>0</v>
      </c>
      <c r="L6" s="11">
        <f t="shared" si="4"/>
        <v>0</v>
      </c>
      <c r="M6" s="11">
        <f t="shared" si="4"/>
        <v>0</v>
      </c>
      <c r="N6" s="11">
        <f t="shared" si="4"/>
        <v>0</v>
      </c>
      <c r="O6" s="11">
        <f t="shared" si="4"/>
        <v>0</v>
      </c>
      <c r="P6" s="11">
        <f t="shared" si="4"/>
        <v>0</v>
      </c>
      <c r="Q6" s="11">
        <f t="shared" si="4"/>
        <v>0</v>
      </c>
      <c r="R6" s="11">
        <f t="shared" si="4"/>
        <v>0</v>
      </c>
      <c r="S6" s="11">
        <f t="shared" si="4"/>
        <v>0</v>
      </c>
      <c r="T6" s="11">
        <f t="shared" si="4"/>
        <v>0</v>
      </c>
      <c r="U6" s="11">
        <f t="shared" si="4"/>
        <v>0</v>
      </c>
      <c r="V6" s="11">
        <f t="shared" si="4"/>
        <v>0</v>
      </c>
      <c r="W6" s="11">
        <f t="shared" si="4"/>
        <v>0</v>
      </c>
      <c r="X6" s="11">
        <f t="shared" si="4"/>
        <v>0</v>
      </c>
      <c r="Y6" s="11">
        <f t="shared" si="4"/>
        <v>0</v>
      </c>
      <c r="Z6" s="11">
        <f t="shared" si="4"/>
        <v>0</v>
      </c>
      <c r="AA6" s="11">
        <f t="shared" si="4"/>
        <v>0</v>
      </c>
      <c r="AB6" s="11">
        <f t="shared" si="4"/>
        <v>0</v>
      </c>
      <c r="AC6" s="11">
        <f t="shared" si="4"/>
        <v>0</v>
      </c>
      <c r="AD6" s="11">
        <f t="shared" si="4"/>
        <v>0</v>
      </c>
      <c r="AE6" s="11">
        <f t="shared" si="4"/>
        <v>0</v>
      </c>
      <c r="AF6" s="11">
        <f t="shared" si="4"/>
        <v>0</v>
      </c>
      <c r="AG6" s="11">
        <f t="shared" si="4"/>
        <v>0</v>
      </c>
    </row>
    <row r="7" spans="2:176" x14ac:dyDescent="0.3">
      <c r="B7" s="8" t="s">
        <v>6</v>
      </c>
      <c r="C7" s="6" t="s">
        <v>4</v>
      </c>
      <c r="D7" s="12">
        <v>0</v>
      </c>
      <c r="E7" s="12">
        <v>0</v>
      </c>
      <c r="F7" s="8"/>
      <c r="G7" s="8"/>
      <c r="H7" s="10">
        <f t="shared" si="3"/>
        <v>0</v>
      </c>
      <c r="I7" s="11">
        <f t="shared" ref="I7:AG9" si="5">IF(AND(I$3&gt;=$D7,I$4&lt;=$E7),1,0)</f>
        <v>0</v>
      </c>
      <c r="J7" s="11">
        <f t="shared" si="4"/>
        <v>0</v>
      </c>
      <c r="K7" s="11">
        <f t="shared" si="4"/>
        <v>0</v>
      </c>
      <c r="L7" s="11">
        <f t="shared" si="4"/>
        <v>0</v>
      </c>
      <c r="M7" s="11">
        <f t="shared" si="4"/>
        <v>0</v>
      </c>
      <c r="N7" s="11">
        <f t="shared" si="4"/>
        <v>0</v>
      </c>
      <c r="O7" s="11">
        <f t="shared" si="4"/>
        <v>0</v>
      </c>
      <c r="P7" s="11">
        <f t="shared" si="4"/>
        <v>0</v>
      </c>
      <c r="Q7" s="11">
        <f t="shared" si="4"/>
        <v>0</v>
      </c>
      <c r="R7" s="11">
        <f t="shared" si="4"/>
        <v>0</v>
      </c>
      <c r="S7" s="11">
        <f t="shared" si="4"/>
        <v>0</v>
      </c>
      <c r="T7" s="11">
        <f t="shared" si="4"/>
        <v>0</v>
      </c>
      <c r="U7" s="11">
        <f t="shared" si="4"/>
        <v>0</v>
      </c>
      <c r="V7" s="11">
        <f t="shared" si="4"/>
        <v>0</v>
      </c>
      <c r="W7" s="11">
        <f t="shared" si="4"/>
        <v>0</v>
      </c>
      <c r="X7" s="11">
        <f t="shared" si="4"/>
        <v>0</v>
      </c>
      <c r="Y7" s="11">
        <f t="shared" si="4"/>
        <v>0</v>
      </c>
      <c r="Z7" s="11">
        <f t="shared" si="4"/>
        <v>0</v>
      </c>
      <c r="AA7" s="11">
        <f t="shared" si="4"/>
        <v>0</v>
      </c>
      <c r="AB7" s="11">
        <f t="shared" si="4"/>
        <v>0</v>
      </c>
      <c r="AC7" s="11">
        <f t="shared" si="4"/>
        <v>0</v>
      </c>
      <c r="AD7" s="11">
        <f t="shared" si="4"/>
        <v>0</v>
      </c>
      <c r="AE7" s="11">
        <f t="shared" si="4"/>
        <v>0</v>
      </c>
      <c r="AF7" s="11">
        <f t="shared" si="4"/>
        <v>0</v>
      </c>
      <c r="AG7" s="11">
        <f t="shared" si="4"/>
        <v>0</v>
      </c>
    </row>
    <row r="8" spans="2:176" x14ac:dyDescent="0.3">
      <c r="B8" s="8" t="s">
        <v>32</v>
      </c>
      <c r="C8" s="6" t="s">
        <v>4</v>
      </c>
      <c r="D8" s="9">
        <v>47484</v>
      </c>
      <c r="E8" s="9">
        <v>51135</v>
      </c>
      <c r="F8" s="8"/>
      <c r="G8" s="8"/>
      <c r="H8" s="10">
        <f t="shared" si="3"/>
        <v>10</v>
      </c>
      <c r="I8" s="11">
        <f t="shared" si="5"/>
        <v>1</v>
      </c>
      <c r="J8" s="11">
        <f t="shared" si="5"/>
        <v>1</v>
      </c>
      <c r="K8" s="11">
        <f t="shared" si="5"/>
        <v>1</v>
      </c>
      <c r="L8" s="11">
        <f t="shared" si="5"/>
        <v>1</v>
      </c>
      <c r="M8" s="11">
        <f t="shared" si="5"/>
        <v>1</v>
      </c>
      <c r="N8" s="11">
        <f t="shared" si="5"/>
        <v>1</v>
      </c>
      <c r="O8" s="11">
        <f t="shared" si="5"/>
        <v>1</v>
      </c>
      <c r="P8" s="11">
        <f t="shared" si="5"/>
        <v>1</v>
      </c>
      <c r="Q8" s="11">
        <f t="shared" si="5"/>
        <v>1</v>
      </c>
      <c r="R8" s="11">
        <f t="shared" si="5"/>
        <v>1</v>
      </c>
      <c r="S8" s="11">
        <f t="shared" si="5"/>
        <v>0</v>
      </c>
      <c r="T8" s="11">
        <f t="shared" si="5"/>
        <v>0</v>
      </c>
      <c r="U8" s="11">
        <f t="shared" si="5"/>
        <v>0</v>
      </c>
      <c r="V8" s="11">
        <f t="shared" si="5"/>
        <v>0</v>
      </c>
      <c r="W8" s="11">
        <f t="shared" si="5"/>
        <v>0</v>
      </c>
      <c r="X8" s="11">
        <f t="shared" si="5"/>
        <v>0</v>
      </c>
      <c r="Y8" s="11">
        <f t="shared" si="5"/>
        <v>0</v>
      </c>
      <c r="Z8" s="11">
        <f t="shared" si="5"/>
        <v>0</v>
      </c>
      <c r="AA8" s="11">
        <f t="shared" si="5"/>
        <v>0</v>
      </c>
      <c r="AB8" s="11">
        <f t="shared" si="5"/>
        <v>0</v>
      </c>
      <c r="AC8" s="11">
        <f t="shared" si="5"/>
        <v>0</v>
      </c>
      <c r="AD8" s="11">
        <f t="shared" si="5"/>
        <v>0</v>
      </c>
      <c r="AE8" s="11">
        <f t="shared" si="5"/>
        <v>0</v>
      </c>
      <c r="AF8" s="11">
        <f t="shared" si="5"/>
        <v>0</v>
      </c>
      <c r="AG8" s="11">
        <f t="shared" si="5"/>
        <v>0</v>
      </c>
    </row>
    <row r="9" spans="2:176" x14ac:dyDescent="0.3">
      <c r="B9" s="8" t="s">
        <v>7</v>
      </c>
      <c r="C9" s="6" t="s">
        <v>4</v>
      </c>
      <c r="D9" s="9">
        <v>47484</v>
      </c>
      <c r="E9" s="9">
        <f>MAX(I4:AG4)</f>
        <v>56614</v>
      </c>
      <c r="F9" s="8"/>
      <c r="G9" s="13"/>
      <c r="H9" s="10">
        <f t="shared" si="3"/>
        <v>25</v>
      </c>
      <c r="I9" s="11">
        <f t="shared" si="5"/>
        <v>1</v>
      </c>
      <c r="J9" s="11">
        <f t="shared" si="5"/>
        <v>1</v>
      </c>
      <c r="K9" s="11">
        <f t="shared" si="5"/>
        <v>1</v>
      </c>
      <c r="L9" s="11">
        <f t="shared" si="5"/>
        <v>1</v>
      </c>
      <c r="M9" s="11">
        <f t="shared" si="5"/>
        <v>1</v>
      </c>
      <c r="N9" s="11">
        <f t="shared" si="5"/>
        <v>1</v>
      </c>
      <c r="O9" s="11">
        <f t="shared" si="5"/>
        <v>1</v>
      </c>
      <c r="P9" s="11">
        <f t="shared" si="5"/>
        <v>1</v>
      </c>
      <c r="Q9" s="11">
        <f t="shared" si="5"/>
        <v>1</v>
      </c>
      <c r="R9" s="11">
        <f t="shared" si="5"/>
        <v>1</v>
      </c>
      <c r="S9" s="11">
        <f t="shared" si="5"/>
        <v>1</v>
      </c>
      <c r="T9" s="11">
        <f t="shared" si="5"/>
        <v>1</v>
      </c>
      <c r="U9" s="11">
        <f t="shared" si="5"/>
        <v>1</v>
      </c>
      <c r="V9" s="11">
        <f t="shared" si="5"/>
        <v>1</v>
      </c>
      <c r="W9" s="11">
        <f t="shared" si="5"/>
        <v>1</v>
      </c>
      <c r="X9" s="11">
        <f t="shared" si="5"/>
        <v>1</v>
      </c>
      <c r="Y9" s="11">
        <f t="shared" si="5"/>
        <v>1</v>
      </c>
      <c r="Z9" s="11">
        <f t="shared" si="5"/>
        <v>1</v>
      </c>
      <c r="AA9" s="11">
        <f t="shared" si="5"/>
        <v>1</v>
      </c>
      <c r="AB9" s="11">
        <f t="shared" si="5"/>
        <v>1</v>
      </c>
      <c r="AC9" s="11">
        <f t="shared" si="5"/>
        <v>1</v>
      </c>
      <c r="AD9" s="11">
        <f t="shared" si="5"/>
        <v>1</v>
      </c>
      <c r="AE9" s="11">
        <f t="shared" si="5"/>
        <v>1</v>
      </c>
      <c r="AF9" s="11">
        <f t="shared" si="5"/>
        <v>1</v>
      </c>
      <c r="AG9" s="11">
        <f t="shared" si="5"/>
        <v>1</v>
      </c>
    </row>
    <row r="10" spans="2:176" x14ac:dyDescent="0.3">
      <c r="B10" s="8"/>
      <c r="C10" s="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spans="2:176" x14ac:dyDescent="0.3">
      <c r="B11" s="8" t="s">
        <v>8</v>
      </c>
      <c r="C11" s="6" t="s">
        <v>9</v>
      </c>
      <c r="D11" s="14" t="s">
        <v>33</v>
      </c>
      <c r="E11" s="8"/>
      <c r="F11" s="8"/>
      <c r="G11" s="8"/>
      <c r="H11" s="15">
        <f>SUM(I11:AH11)</f>
        <v>0.99999999999999989</v>
      </c>
      <c r="I11" s="16">
        <f>IF(I8=1, 10%,0)</f>
        <v>0.1</v>
      </c>
      <c r="J11" s="16">
        <f t="shared" ref="J11:AG11" si="6">IF(J8=1, 10%,0)</f>
        <v>0.1</v>
      </c>
      <c r="K11" s="16">
        <f t="shared" si="6"/>
        <v>0.1</v>
      </c>
      <c r="L11" s="16">
        <f t="shared" si="6"/>
        <v>0.1</v>
      </c>
      <c r="M11" s="16">
        <f t="shared" si="6"/>
        <v>0.1</v>
      </c>
      <c r="N11" s="16">
        <f t="shared" si="6"/>
        <v>0.1</v>
      </c>
      <c r="O11" s="16">
        <f t="shared" si="6"/>
        <v>0.1</v>
      </c>
      <c r="P11" s="16">
        <f t="shared" si="6"/>
        <v>0.1</v>
      </c>
      <c r="Q11" s="16">
        <f t="shared" si="6"/>
        <v>0.1</v>
      </c>
      <c r="R11" s="16">
        <f t="shared" si="6"/>
        <v>0.1</v>
      </c>
      <c r="S11" s="16">
        <f t="shared" si="6"/>
        <v>0</v>
      </c>
      <c r="T11" s="16">
        <f t="shared" si="6"/>
        <v>0</v>
      </c>
      <c r="U11" s="16">
        <f t="shared" si="6"/>
        <v>0</v>
      </c>
      <c r="V11" s="16">
        <f t="shared" si="6"/>
        <v>0</v>
      </c>
      <c r="W11" s="16">
        <f t="shared" si="6"/>
        <v>0</v>
      </c>
      <c r="X11" s="16">
        <f t="shared" si="6"/>
        <v>0</v>
      </c>
      <c r="Y11" s="16">
        <f t="shared" si="6"/>
        <v>0</v>
      </c>
      <c r="Z11" s="16">
        <f t="shared" si="6"/>
        <v>0</v>
      </c>
      <c r="AA11" s="16">
        <f t="shared" si="6"/>
        <v>0</v>
      </c>
      <c r="AB11" s="16">
        <f t="shared" si="6"/>
        <v>0</v>
      </c>
      <c r="AC11" s="16">
        <f t="shared" si="6"/>
        <v>0</v>
      </c>
      <c r="AD11" s="16">
        <f t="shared" si="6"/>
        <v>0</v>
      </c>
      <c r="AE11" s="16">
        <f t="shared" si="6"/>
        <v>0</v>
      </c>
      <c r="AF11" s="16">
        <f t="shared" si="6"/>
        <v>0</v>
      </c>
      <c r="AG11" s="16">
        <f t="shared" si="6"/>
        <v>0</v>
      </c>
      <c r="AI11" s="4">
        <v>1.6000390815428166E-2</v>
      </c>
      <c r="AJ11" s="4">
        <v>1.6275953101693878E-2</v>
      </c>
      <c r="AK11" s="4">
        <v>1.6556261182889713E-2</v>
      </c>
      <c r="AL11" s="4">
        <v>1.684139679215059E-2</v>
      </c>
      <c r="AM11" s="4">
        <v>1.7131443070237631E-2</v>
      </c>
      <c r="AN11" s="4">
        <v>1.7426484589780612E-2</v>
      </c>
      <c r="AO11" s="4">
        <v>1.7726607379937948E-2</v>
      </c>
      <c r="AP11" s="4">
        <v>1.8031898951481325E-2</v>
      </c>
      <c r="AQ11" s="4">
        <v>1.8342448322312386E-2</v>
      </c>
      <c r="AR11" s="4">
        <v>1.8658346043418879E-2</v>
      </c>
      <c r="AS11" s="4">
        <v>1.8979684225277762E-2</v>
      </c>
      <c r="AT11" s="4">
        <v>1.9306556564713098E-2</v>
      </c>
      <c r="AU11" s="4">
        <v>1.9639058372216491E-2</v>
      </c>
      <c r="AV11" s="4">
        <v>1.9977286599737996E-2</v>
      </c>
      <c r="AW11" s="4">
        <v>2.0321339868955707E-2</v>
      </c>
      <c r="AX11" s="4">
        <v>2.0671318500032169E-2</v>
      </c>
      <c r="AY11" s="4">
        <v>2.1027324540866053E-2</v>
      </c>
      <c r="AZ11" s="4">
        <v>2.1389461796847635E-2</v>
      </c>
      <c r="BA11" s="4">
        <v>2.175783586112668E-2</v>
      </c>
      <c r="BB11" s="4">
        <v>2.2132554145401634E-2</v>
      </c>
      <c r="BC11" s="4">
        <v>2.251372591123911E-2</v>
      </c>
      <c r="BD11" s="4">
        <v>2.2901462301932674E-2</v>
      </c>
      <c r="BE11" s="4">
        <v>2.3295876374910405E-2</v>
      </c>
      <c r="BF11" s="4">
        <v>2.3697083134700526E-2</v>
      </c>
      <c r="BG11" s="4">
        <v>2.4105199566464813E-2</v>
      </c>
      <c r="BH11" s="4">
        <v>2.4520344670109485E-2</v>
      </c>
      <c r="BI11" s="4">
        <v>2.4942639494983588E-2</v>
      </c>
      <c r="BJ11" s="4">
        <v>2.5372207175174976E-2</v>
      </c>
      <c r="BK11" s="4">
        <v>2.5809172965414101E-2</v>
      </c>
      <c r="BL11" s="4">
        <v>2.6253664277596234E-2</v>
      </c>
      <c r="BM11" s="4">
        <v>2.6705810717932609E-2</v>
      </c>
      <c r="BN11" s="4">
        <v>2.7165744124741452E-2</v>
      </c>
      <c r="BO11" s="4">
        <v>2.7633598606889773E-2</v>
      </c>
      <c r="BP11" s="4">
        <v>2.8109510582897325E-2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</row>
    <row r="12" spans="2:176" x14ac:dyDescent="0.3">
      <c r="B12" s="8" t="s">
        <v>10</v>
      </c>
      <c r="C12" s="17" t="s">
        <v>11</v>
      </c>
      <c r="D12" s="8"/>
      <c r="E12" s="8"/>
      <c r="F12" s="8"/>
      <c r="G12" s="8"/>
      <c r="H12" s="8"/>
      <c r="I12" s="18">
        <f>H15</f>
        <v>0</v>
      </c>
      <c r="J12" s="18">
        <f t="shared" ref="J12:AG12" si="7">I15</f>
        <v>10275.4</v>
      </c>
      <c r="K12" s="18">
        <f t="shared" si="7"/>
        <v>55317.8</v>
      </c>
      <c r="L12" s="18">
        <f t="shared" si="7"/>
        <v>54712.200000000004</v>
      </c>
      <c r="M12" s="18">
        <f t="shared" si="7"/>
        <v>56254.600000000013</v>
      </c>
      <c r="N12" s="18">
        <f t="shared" si="7"/>
        <v>47370.000000000015</v>
      </c>
      <c r="O12" s="18">
        <f t="shared" si="7"/>
        <v>38954.400000000016</v>
      </c>
      <c r="P12" s="18">
        <f t="shared" si="7"/>
        <v>29215.800000000017</v>
      </c>
      <c r="Q12" s="18">
        <f t="shared" si="7"/>
        <v>19477.200000000019</v>
      </c>
      <c r="R12" s="18">
        <f t="shared" si="7"/>
        <v>9738.6000000000186</v>
      </c>
      <c r="S12" s="18">
        <f t="shared" si="7"/>
        <v>1.8189894035458565E-11</v>
      </c>
      <c r="T12" s="18">
        <f t="shared" si="7"/>
        <v>1.8189894035458565E-11</v>
      </c>
      <c r="U12" s="18">
        <f t="shared" si="7"/>
        <v>1.8189894035458565E-11</v>
      </c>
      <c r="V12" s="18">
        <f t="shared" si="7"/>
        <v>1.8189894035458565E-11</v>
      </c>
      <c r="W12" s="18">
        <f t="shared" si="7"/>
        <v>1.8189894035458565E-11</v>
      </c>
      <c r="X12" s="18">
        <f t="shared" si="7"/>
        <v>1.8189894035458565E-11</v>
      </c>
      <c r="Y12" s="18">
        <f t="shared" si="7"/>
        <v>1.8189894035458565E-11</v>
      </c>
      <c r="Z12" s="18">
        <f t="shared" si="7"/>
        <v>1.8189894035458565E-11</v>
      </c>
      <c r="AA12" s="18">
        <f t="shared" si="7"/>
        <v>1.8189894035458565E-11</v>
      </c>
      <c r="AB12" s="18">
        <f t="shared" si="7"/>
        <v>1.8189894035458565E-11</v>
      </c>
      <c r="AC12" s="18">
        <f t="shared" si="7"/>
        <v>1.8189894035458565E-11</v>
      </c>
      <c r="AD12" s="18">
        <f t="shared" si="7"/>
        <v>1.8189894035458565E-11</v>
      </c>
      <c r="AE12" s="18">
        <f t="shared" si="7"/>
        <v>1.8189894035458565E-11</v>
      </c>
      <c r="AF12" s="18">
        <f t="shared" si="7"/>
        <v>1.8189894035458565E-11</v>
      </c>
      <c r="AG12" s="18">
        <f t="shared" si="7"/>
        <v>1.8189894035458565E-11</v>
      </c>
    </row>
    <row r="13" spans="2:176" x14ac:dyDescent="0.3">
      <c r="B13" s="8" t="s">
        <v>12</v>
      </c>
      <c r="C13" s="17" t="s">
        <v>11</v>
      </c>
      <c r="D13" s="19">
        <f>SUM(I13:AG13)</f>
        <v>97386</v>
      </c>
      <c r="E13" s="8"/>
      <c r="F13" s="8"/>
      <c r="G13" s="8"/>
      <c r="H13" s="10">
        <f t="shared" ref="H13:H14" si="8">SUM(I13:AG13)</f>
        <v>97386</v>
      </c>
      <c r="I13" s="18">
        <v>20014</v>
      </c>
      <c r="J13" s="18">
        <v>54781</v>
      </c>
      <c r="K13" s="18">
        <v>9133</v>
      </c>
      <c r="L13" s="18">
        <v>11281</v>
      </c>
      <c r="M13" s="18">
        <v>854</v>
      </c>
      <c r="N13" s="18">
        <v>1323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</row>
    <row r="14" spans="2:176" x14ac:dyDescent="0.3">
      <c r="B14" s="8" t="s">
        <v>13</v>
      </c>
      <c r="C14" s="17" t="s">
        <v>11</v>
      </c>
      <c r="D14" s="8"/>
      <c r="E14" s="8"/>
      <c r="F14" s="8"/>
      <c r="G14" s="8"/>
      <c r="H14" s="10">
        <f t="shared" si="8"/>
        <v>-97386.000000000015</v>
      </c>
      <c r="I14" s="18">
        <f>-I11*$D$13</f>
        <v>-9738.6</v>
      </c>
      <c r="J14" s="18">
        <f t="shared" ref="J14:AG14" si="9">-J11*$D$13</f>
        <v>-9738.6</v>
      </c>
      <c r="K14" s="18">
        <f t="shared" si="9"/>
        <v>-9738.6</v>
      </c>
      <c r="L14" s="18">
        <f t="shared" si="9"/>
        <v>-9738.6</v>
      </c>
      <c r="M14" s="18">
        <f t="shared" si="9"/>
        <v>-9738.6</v>
      </c>
      <c r="N14" s="18">
        <f t="shared" si="9"/>
        <v>-9738.6</v>
      </c>
      <c r="O14" s="18">
        <f t="shared" si="9"/>
        <v>-9738.6</v>
      </c>
      <c r="P14" s="18">
        <f t="shared" si="9"/>
        <v>-9738.6</v>
      </c>
      <c r="Q14" s="18">
        <f t="shared" si="9"/>
        <v>-9738.6</v>
      </c>
      <c r="R14" s="18">
        <f t="shared" si="9"/>
        <v>-9738.6</v>
      </c>
      <c r="S14" s="18">
        <f t="shared" si="9"/>
        <v>0</v>
      </c>
      <c r="T14" s="18">
        <f t="shared" si="9"/>
        <v>0</v>
      </c>
      <c r="U14" s="18">
        <f t="shared" si="9"/>
        <v>0</v>
      </c>
      <c r="V14" s="18">
        <f t="shared" si="9"/>
        <v>0</v>
      </c>
      <c r="W14" s="18">
        <f t="shared" si="9"/>
        <v>0</v>
      </c>
      <c r="X14" s="18">
        <f t="shared" si="9"/>
        <v>0</v>
      </c>
      <c r="Y14" s="18">
        <f t="shared" si="9"/>
        <v>0</v>
      </c>
      <c r="Z14" s="18">
        <f t="shared" si="9"/>
        <v>0</v>
      </c>
      <c r="AA14" s="18">
        <f t="shared" si="9"/>
        <v>0</v>
      </c>
      <c r="AB14" s="18">
        <f t="shared" si="9"/>
        <v>0</v>
      </c>
      <c r="AC14" s="18">
        <f t="shared" si="9"/>
        <v>0</v>
      </c>
      <c r="AD14" s="18">
        <f t="shared" si="9"/>
        <v>0</v>
      </c>
      <c r="AE14" s="18">
        <f t="shared" si="9"/>
        <v>0</v>
      </c>
      <c r="AF14" s="18">
        <f t="shared" si="9"/>
        <v>0</v>
      </c>
      <c r="AG14" s="18">
        <f t="shared" si="9"/>
        <v>0</v>
      </c>
    </row>
    <row r="15" spans="2:176" s="3" customFormat="1" ht="14.4" thickBot="1" x14ac:dyDescent="0.35">
      <c r="B15" s="20" t="s">
        <v>14</v>
      </c>
      <c r="C15" s="21" t="s">
        <v>11</v>
      </c>
      <c r="D15" s="20"/>
      <c r="E15" s="20"/>
      <c r="F15" s="20"/>
      <c r="G15" s="20"/>
      <c r="H15" s="22"/>
      <c r="I15" s="23">
        <f>SUM(I12:I14)</f>
        <v>10275.4</v>
      </c>
      <c r="J15" s="23">
        <f t="shared" ref="J15:AG15" si="10">SUM(J12:J14)</f>
        <v>55317.8</v>
      </c>
      <c r="K15" s="23">
        <f t="shared" si="10"/>
        <v>54712.200000000004</v>
      </c>
      <c r="L15" s="23">
        <f t="shared" si="10"/>
        <v>56254.600000000013</v>
      </c>
      <c r="M15" s="23">
        <f t="shared" si="10"/>
        <v>47370.000000000015</v>
      </c>
      <c r="N15" s="23">
        <f t="shared" si="10"/>
        <v>38954.400000000016</v>
      </c>
      <c r="O15" s="23">
        <f t="shared" si="10"/>
        <v>29215.800000000017</v>
      </c>
      <c r="P15" s="23">
        <f t="shared" si="10"/>
        <v>19477.200000000019</v>
      </c>
      <c r="Q15" s="23">
        <f t="shared" si="10"/>
        <v>9738.6000000000186</v>
      </c>
      <c r="R15" s="23">
        <f t="shared" si="10"/>
        <v>1.8189894035458565E-11</v>
      </c>
      <c r="S15" s="23">
        <f t="shared" si="10"/>
        <v>1.8189894035458565E-11</v>
      </c>
      <c r="T15" s="23">
        <f t="shared" si="10"/>
        <v>1.8189894035458565E-11</v>
      </c>
      <c r="U15" s="23">
        <f t="shared" si="10"/>
        <v>1.8189894035458565E-11</v>
      </c>
      <c r="V15" s="23">
        <f t="shared" si="10"/>
        <v>1.8189894035458565E-11</v>
      </c>
      <c r="W15" s="23">
        <f t="shared" si="10"/>
        <v>1.8189894035458565E-11</v>
      </c>
      <c r="X15" s="23">
        <f t="shared" si="10"/>
        <v>1.8189894035458565E-11</v>
      </c>
      <c r="Y15" s="23">
        <f t="shared" si="10"/>
        <v>1.8189894035458565E-11</v>
      </c>
      <c r="Z15" s="23">
        <f t="shared" si="10"/>
        <v>1.8189894035458565E-11</v>
      </c>
      <c r="AA15" s="23">
        <f t="shared" si="10"/>
        <v>1.8189894035458565E-11</v>
      </c>
      <c r="AB15" s="23">
        <f t="shared" si="10"/>
        <v>1.8189894035458565E-11</v>
      </c>
      <c r="AC15" s="23">
        <f t="shared" si="10"/>
        <v>1.8189894035458565E-11</v>
      </c>
      <c r="AD15" s="23">
        <f t="shared" si="10"/>
        <v>1.8189894035458565E-11</v>
      </c>
      <c r="AE15" s="23">
        <f t="shared" si="10"/>
        <v>1.8189894035458565E-11</v>
      </c>
      <c r="AF15" s="23">
        <f t="shared" si="10"/>
        <v>1.8189894035458565E-11</v>
      </c>
      <c r="AG15" s="23">
        <f t="shared" si="10"/>
        <v>1.8189894035458565E-11</v>
      </c>
    </row>
    <row r="16" spans="2:176" ht="14.4" thickTop="1" x14ac:dyDescent="0.3">
      <c r="B16" s="8"/>
      <c r="C16" s="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2:34" s="3" customFormat="1" x14ac:dyDescent="0.3">
      <c r="B17" s="20" t="s">
        <v>15</v>
      </c>
      <c r="C17" s="21" t="s">
        <v>11</v>
      </c>
      <c r="F17" s="20"/>
      <c r="G17" s="20"/>
      <c r="H17" s="20"/>
      <c r="I17" s="24">
        <f>(-$H$14-SUM(I13:$I$13))*I$5</f>
        <v>77372.000000000015</v>
      </c>
      <c r="J17" s="24">
        <f>(-$H$14-SUM($I13:J$13))*J$5</f>
        <v>22591.000000000015</v>
      </c>
      <c r="K17" s="24">
        <f>(-$H$14-SUM($I13:K$13))*K$5</f>
        <v>13458.000000000015</v>
      </c>
      <c r="L17" s="24">
        <f>(-$H$14-SUM($I13:L$13))*L$5</f>
        <v>2177.0000000000146</v>
      </c>
      <c r="M17" s="24">
        <f>(-$H$14-SUM($I13:M$13))*M$5</f>
        <v>1323.0000000000146</v>
      </c>
      <c r="N17" s="24">
        <f>(-$H$14-SUM($I13:N$13))*N$5</f>
        <v>1.4551915228366852E-11</v>
      </c>
      <c r="O17" s="24">
        <f>(-$H$14-SUM($I13:O$13))*O$5</f>
        <v>0</v>
      </c>
      <c r="P17" s="24">
        <f>(-$H$14-SUM($I13:P$13))*P$5</f>
        <v>0</v>
      </c>
      <c r="Q17" s="24">
        <f>(-$H$14-SUM($I13:Q$13))*Q$5</f>
        <v>0</v>
      </c>
      <c r="R17" s="24">
        <f>(-$H$14-SUM($I13:R$13))*R$5</f>
        <v>0</v>
      </c>
      <c r="S17" s="24">
        <f>(-$H$14-SUM($I13:S$13))*S$5</f>
        <v>0</v>
      </c>
      <c r="T17" s="24">
        <f>(-$H$14-SUM($I13:T$13))*T$5</f>
        <v>0</v>
      </c>
      <c r="U17" s="24">
        <f>(-$H$14-SUM($I13:U$13))*U$5</f>
        <v>0</v>
      </c>
      <c r="V17" s="24">
        <f>(-$H$14-SUM($I13:V$13))*V$5</f>
        <v>0</v>
      </c>
      <c r="W17" s="24">
        <f>(-$H$14-SUM($I13:W$13))*W$5</f>
        <v>0</v>
      </c>
      <c r="X17" s="24">
        <f>(-$H$14-SUM($I13:X$13))*X$5</f>
        <v>0</v>
      </c>
      <c r="Y17" s="24">
        <f>(-$H$14-SUM($I13:Y$13))*Y$5</f>
        <v>0</v>
      </c>
      <c r="Z17" s="24">
        <f>(-$H$14-SUM($I13:Z$13))*Z$5</f>
        <v>0</v>
      </c>
      <c r="AA17" s="24">
        <f>(-$H$14-SUM($I13:AA$13))*AA$5</f>
        <v>0</v>
      </c>
      <c r="AB17" s="24">
        <f>(-$H$14-SUM($I13:AB$13))*AB$5</f>
        <v>0</v>
      </c>
      <c r="AC17" s="24">
        <f>(-$H$14-SUM($I13:AC$13))*AC$5</f>
        <v>0</v>
      </c>
      <c r="AD17" s="24">
        <f>(-$H$14-SUM($I13:AD$13))*AD$5</f>
        <v>0</v>
      </c>
      <c r="AE17" s="24">
        <f>(-$H$14-SUM($I13:AE$13))*AE$5</f>
        <v>0</v>
      </c>
      <c r="AF17" s="24">
        <f>(-$H$14-SUM($I13:AF$13))*AF$5</f>
        <v>0</v>
      </c>
      <c r="AG17" s="24">
        <f>(-$H$14-SUM($I13:AG$13))*AG$5</f>
        <v>0</v>
      </c>
    </row>
    <row r="18" spans="2:34" x14ac:dyDescent="0.3">
      <c r="B18" s="8"/>
      <c r="C18" s="17"/>
      <c r="D18" s="7" t="s">
        <v>16</v>
      </c>
      <c r="E18" s="7" t="s">
        <v>17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x14ac:dyDescent="0.3">
      <c r="B19" s="8" t="s">
        <v>18</v>
      </c>
      <c r="C19" s="6" t="s">
        <v>19</v>
      </c>
      <c r="D19" s="25">
        <v>5.0000000000000001E-3</v>
      </c>
      <c r="E19" s="8"/>
      <c r="F19" s="8"/>
      <c r="G19" s="13"/>
      <c r="H19" s="10">
        <f t="shared" ref="H19:H22" si="11">SUM(I19:AG19)</f>
        <v>584.60500000000059</v>
      </c>
      <c r="I19" s="18">
        <f>$D$19*I17</f>
        <v>386.86000000000007</v>
      </c>
      <c r="J19" s="18">
        <f t="shared" ref="J19:AG19" si="12">$D$19*J17</f>
        <v>112.95500000000007</v>
      </c>
      <c r="K19" s="18">
        <f t="shared" si="12"/>
        <v>67.290000000000077</v>
      </c>
      <c r="L19" s="18">
        <f t="shared" si="12"/>
        <v>10.885000000000073</v>
      </c>
      <c r="M19" s="18">
        <f t="shared" si="12"/>
        <v>6.615000000000073</v>
      </c>
      <c r="N19" s="18">
        <f t="shared" si="12"/>
        <v>7.2759576141834261E-14</v>
      </c>
      <c r="O19" s="18">
        <f t="shared" si="12"/>
        <v>0</v>
      </c>
      <c r="P19" s="18">
        <f t="shared" si="12"/>
        <v>0</v>
      </c>
      <c r="Q19" s="18">
        <f t="shared" si="12"/>
        <v>0</v>
      </c>
      <c r="R19" s="18">
        <f t="shared" si="12"/>
        <v>0</v>
      </c>
      <c r="S19" s="18">
        <f t="shared" si="12"/>
        <v>0</v>
      </c>
      <c r="T19" s="18">
        <f t="shared" si="12"/>
        <v>0</v>
      </c>
      <c r="U19" s="18">
        <f t="shared" si="12"/>
        <v>0</v>
      </c>
      <c r="V19" s="18">
        <f t="shared" si="12"/>
        <v>0</v>
      </c>
      <c r="W19" s="18">
        <f t="shared" si="12"/>
        <v>0</v>
      </c>
      <c r="X19" s="18">
        <f t="shared" si="12"/>
        <v>0</v>
      </c>
      <c r="Y19" s="18">
        <f t="shared" si="12"/>
        <v>0</v>
      </c>
      <c r="Z19" s="18">
        <f t="shared" si="12"/>
        <v>0</v>
      </c>
      <c r="AA19" s="18">
        <f t="shared" si="12"/>
        <v>0</v>
      </c>
      <c r="AB19" s="18">
        <f t="shared" si="12"/>
        <v>0</v>
      </c>
      <c r="AC19" s="18">
        <f t="shared" si="12"/>
        <v>0</v>
      </c>
      <c r="AD19" s="18">
        <f t="shared" si="12"/>
        <v>0</v>
      </c>
      <c r="AE19" s="18">
        <f t="shared" si="12"/>
        <v>0</v>
      </c>
      <c r="AF19" s="18">
        <f t="shared" si="12"/>
        <v>0</v>
      </c>
      <c r="AG19" s="18">
        <f t="shared" si="12"/>
        <v>0</v>
      </c>
    </row>
    <row r="20" spans="2:34" x14ac:dyDescent="0.3">
      <c r="B20" s="8" t="s">
        <v>20</v>
      </c>
      <c r="C20" s="6" t="s">
        <v>19</v>
      </c>
      <c r="D20" s="25">
        <v>5.0000000000000001E-3</v>
      </c>
      <c r="E20" s="8"/>
      <c r="F20" s="8"/>
      <c r="G20" s="13"/>
      <c r="H20" s="10">
        <f t="shared" si="11"/>
        <v>486.93000000000006</v>
      </c>
      <c r="I20" s="18">
        <f>-$D20*$H$14*I6</f>
        <v>486.93000000000006</v>
      </c>
      <c r="J20" s="18">
        <f t="shared" ref="J20:AG20" si="13">-$D20*$H$14*J6</f>
        <v>0</v>
      </c>
      <c r="K20" s="18">
        <f t="shared" si="13"/>
        <v>0</v>
      </c>
      <c r="L20" s="18">
        <f t="shared" si="13"/>
        <v>0</v>
      </c>
      <c r="M20" s="18">
        <f t="shared" si="13"/>
        <v>0</v>
      </c>
      <c r="N20" s="18">
        <f t="shared" si="13"/>
        <v>0</v>
      </c>
      <c r="O20" s="18">
        <f t="shared" si="13"/>
        <v>0</v>
      </c>
      <c r="P20" s="18">
        <f t="shared" si="13"/>
        <v>0</v>
      </c>
      <c r="Q20" s="18">
        <f t="shared" si="13"/>
        <v>0</v>
      </c>
      <c r="R20" s="18">
        <f t="shared" si="13"/>
        <v>0</v>
      </c>
      <c r="S20" s="18">
        <f t="shared" si="13"/>
        <v>0</v>
      </c>
      <c r="T20" s="18">
        <f t="shared" si="13"/>
        <v>0</v>
      </c>
      <c r="U20" s="18">
        <f t="shared" si="13"/>
        <v>0</v>
      </c>
      <c r="V20" s="18">
        <f t="shared" si="13"/>
        <v>0</v>
      </c>
      <c r="W20" s="18">
        <f t="shared" si="13"/>
        <v>0</v>
      </c>
      <c r="X20" s="18">
        <f t="shared" si="13"/>
        <v>0</v>
      </c>
      <c r="Y20" s="18">
        <f t="shared" si="13"/>
        <v>0</v>
      </c>
      <c r="Z20" s="18">
        <f t="shared" si="13"/>
        <v>0</v>
      </c>
      <c r="AA20" s="18">
        <f t="shared" si="13"/>
        <v>0</v>
      </c>
      <c r="AB20" s="18">
        <f t="shared" si="13"/>
        <v>0</v>
      </c>
      <c r="AC20" s="18">
        <f t="shared" si="13"/>
        <v>0</v>
      </c>
      <c r="AD20" s="18">
        <f t="shared" si="13"/>
        <v>0</v>
      </c>
      <c r="AE20" s="18">
        <f t="shared" si="13"/>
        <v>0</v>
      </c>
      <c r="AF20" s="18">
        <f t="shared" si="13"/>
        <v>0</v>
      </c>
      <c r="AG20" s="18">
        <f t="shared" si="13"/>
        <v>0</v>
      </c>
    </row>
    <row r="21" spans="2:34" x14ac:dyDescent="0.3">
      <c r="B21" s="8" t="s">
        <v>21</v>
      </c>
      <c r="C21" s="17" t="s">
        <v>11</v>
      </c>
      <c r="D21" s="25">
        <v>0.08</v>
      </c>
      <c r="E21" s="8"/>
      <c r="F21" s="8"/>
      <c r="G21" s="13"/>
      <c r="H21" s="10">
        <f t="shared" si="11"/>
        <v>25705.280000000024</v>
      </c>
      <c r="I21" s="18">
        <f>-I28</f>
        <v>411.01600000000002</v>
      </c>
      <c r="J21" s="18">
        <f t="shared" ref="J21:AG21" si="14">-J28</f>
        <v>750</v>
      </c>
      <c r="K21" s="18">
        <f t="shared" si="14"/>
        <v>887</v>
      </c>
      <c r="L21" s="18">
        <f t="shared" si="14"/>
        <v>1182</v>
      </c>
      <c r="M21" s="18">
        <f t="shared" si="14"/>
        <v>2359</v>
      </c>
      <c r="N21" s="18">
        <f t="shared" si="14"/>
        <v>2467</v>
      </c>
      <c r="O21" s="18">
        <f t="shared" si="14"/>
        <v>508</v>
      </c>
      <c r="P21" s="18">
        <f t="shared" si="14"/>
        <v>711</v>
      </c>
      <c r="Q21" s="18">
        <f t="shared" si="14"/>
        <v>2904</v>
      </c>
      <c r="R21" s="18">
        <f t="shared" si="14"/>
        <v>698</v>
      </c>
      <c r="S21" s="18">
        <f t="shared" si="14"/>
        <v>2467</v>
      </c>
      <c r="T21" s="18">
        <f t="shared" si="14"/>
        <v>1595</v>
      </c>
      <c r="U21" s="18">
        <f t="shared" si="14"/>
        <v>1831</v>
      </c>
      <c r="V21" s="18">
        <f t="shared" si="14"/>
        <v>2682</v>
      </c>
      <c r="W21" s="18">
        <f t="shared" si="14"/>
        <v>1456</v>
      </c>
      <c r="X21" s="18">
        <f t="shared" si="14"/>
        <v>1188</v>
      </c>
      <c r="Y21" s="18">
        <f t="shared" si="14"/>
        <v>670</v>
      </c>
      <c r="Z21" s="18">
        <f t="shared" si="14"/>
        <v>939.26400000002343</v>
      </c>
      <c r="AA21" s="18">
        <f t="shared" si="14"/>
        <v>1.4551915228366853E-12</v>
      </c>
      <c r="AB21" s="18">
        <f t="shared" si="14"/>
        <v>1.4551915228366853E-12</v>
      </c>
      <c r="AC21" s="18">
        <f t="shared" si="14"/>
        <v>1.4551915228366853E-12</v>
      </c>
      <c r="AD21" s="18">
        <f t="shared" si="14"/>
        <v>1.4551915228366853E-12</v>
      </c>
      <c r="AE21" s="18">
        <f t="shared" si="14"/>
        <v>1.4551915228366853E-12</v>
      </c>
      <c r="AF21" s="18">
        <f t="shared" si="14"/>
        <v>1.4551915228366853E-12</v>
      </c>
      <c r="AG21" s="18">
        <f t="shared" si="14"/>
        <v>1.4551915228366853E-12</v>
      </c>
    </row>
    <row r="22" spans="2:34" ht="14.4" thickBot="1" x14ac:dyDescent="0.35">
      <c r="B22" s="20" t="s">
        <v>22</v>
      </c>
      <c r="C22" s="17" t="s">
        <v>11</v>
      </c>
      <c r="D22" s="8"/>
      <c r="E22" s="8"/>
      <c r="F22" s="8"/>
      <c r="G22" s="8"/>
      <c r="H22" s="26">
        <f t="shared" si="11"/>
        <v>26776.815000000024</v>
      </c>
      <c r="I22" s="27">
        <f>SUM(I19:I21)</f>
        <v>1284.8060000000003</v>
      </c>
      <c r="J22" s="27">
        <f t="shared" ref="J22:AG22" si="15">SUM(J19:J21)</f>
        <v>862.95500000000004</v>
      </c>
      <c r="K22" s="27">
        <f t="shared" si="15"/>
        <v>954.29000000000008</v>
      </c>
      <c r="L22" s="27">
        <f t="shared" si="15"/>
        <v>1192.885</v>
      </c>
      <c r="M22" s="27">
        <f t="shared" si="15"/>
        <v>2365.6150000000002</v>
      </c>
      <c r="N22" s="27">
        <f t="shared" si="15"/>
        <v>2467</v>
      </c>
      <c r="O22" s="27">
        <f t="shared" si="15"/>
        <v>508</v>
      </c>
      <c r="P22" s="27">
        <f t="shared" si="15"/>
        <v>711</v>
      </c>
      <c r="Q22" s="27">
        <f t="shared" si="15"/>
        <v>2904</v>
      </c>
      <c r="R22" s="27">
        <f t="shared" si="15"/>
        <v>698</v>
      </c>
      <c r="S22" s="27">
        <f t="shared" si="15"/>
        <v>2467</v>
      </c>
      <c r="T22" s="27">
        <f t="shared" si="15"/>
        <v>1595</v>
      </c>
      <c r="U22" s="27">
        <f t="shared" si="15"/>
        <v>1831</v>
      </c>
      <c r="V22" s="27">
        <f t="shared" si="15"/>
        <v>2682</v>
      </c>
      <c r="W22" s="27">
        <f t="shared" si="15"/>
        <v>1456</v>
      </c>
      <c r="X22" s="27">
        <f t="shared" si="15"/>
        <v>1188</v>
      </c>
      <c r="Y22" s="27">
        <f t="shared" si="15"/>
        <v>670</v>
      </c>
      <c r="Z22" s="27">
        <f t="shared" si="15"/>
        <v>939.26400000002343</v>
      </c>
      <c r="AA22" s="27">
        <f t="shared" si="15"/>
        <v>1.4551915228366853E-12</v>
      </c>
      <c r="AB22" s="27">
        <f t="shared" si="15"/>
        <v>1.4551915228366853E-12</v>
      </c>
      <c r="AC22" s="27">
        <f t="shared" si="15"/>
        <v>1.4551915228366853E-12</v>
      </c>
      <c r="AD22" s="27">
        <f t="shared" si="15"/>
        <v>1.4551915228366853E-12</v>
      </c>
      <c r="AE22" s="27">
        <f t="shared" si="15"/>
        <v>1.4551915228366853E-12</v>
      </c>
      <c r="AF22" s="27">
        <f t="shared" si="15"/>
        <v>1.4551915228366853E-12</v>
      </c>
      <c r="AG22" s="27">
        <f t="shared" si="15"/>
        <v>1.4551915228366853E-12</v>
      </c>
    </row>
    <row r="23" spans="2:34" ht="14.4" thickTop="1" x14ac:dyDescent="0.3">
      <c r="B23" s="20"/>
      <c r="C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2:34" s="3" customFormat="1" x14ac:dyDescent="0.3">
      <c r="B24" s="20" t="s">
        <v>23</v>
      </c>
      <c r="C24" s="21" t="s">
        <v>11</v>
      </c>
      <c r="D24" s="20"/>
      <c r="E24" s="20"/>
      <c r="F24" s="20"/>
      <c r="G24" s="20"/>
      <c r="H24" s="20"/>
      <c r="I24" s="24">
        <v>1491</v>
      </c>
      <c r="J24" s="24">
        <v>750</v>
      </c>
      <c r="K24" s="24">
        <v>887</v>
      </c>
      <c r="L24" s="24">
        <v>1182</v>
      </c>
      <c r="M24" s="24">
        <v>2359</v>
      </c>
      <c r="N24" s="24">
        <v>2467</v>
      </c>
      <c r="O24" s="24">
        <v>508</v>
      </c>
      <c r="P24" s="24">
        <v>711</v>
      </c>
      <c r="Q24" s="24">
        <v>2904</v>
      </c>
      <c r="R24" s="24">
        <v>698</v>
      </c>
      <c r="S24" s="24">
        <v>2467</v>
      </c>
      <c r="T24" s="24">
        <v>1595</v>
      </c>
      <c r="U24" s="24">
        <v>1831</v>
      </c>
      <c r="V24" s="24">
        <v>2682</v>
      </c>
      <c r="W24" s="24">
        <v>1456</v>
      </c>
      <c r="X24" s="24">
        <v>1188</v>
      </c>
      <c r="Y24" s="24">
        <v>670</v>
      </c>
      <c r="Z24" s="24">
        <v>1557</v>
      </c>
      <c r="AA24" s="24">
        <v>531</v>
      </c>
      <c r="AB24" s="24">
        <v>2995</v>
      </c>
      <c r="AC24" s="24">
        <v>702</v>
      </c>
      <c r="AD24" s="24">
        <v>1922</v>
      </c>
      <c r="AE24" s="24">
        <v>1683</v>
      </c>
      <c r="AF24" s="24">
        <v>2537</v>
      </c>
      <c r="AG24" s="24">
        <v>1014</v>
      </c>
    </row>
    <row r="25" spans="2:34" x14ac:dyDescent="0.3">
      <c r="B25" s="20"/>
      <c r="C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2:34" x14ac:dyDescent="0.3">
      <c r="B26" s="8" t="s">
        <v>24</v>
      </c>
      <c r="C26" s="17" t="s">
        <v>11</v>
      </c>
      <c r="D26" s="8"/>
      <c r="E26" s="8"/>
      <c r="F26" s="8"/>
      <c r="G26" s="8"/>
      <c r="H26" s="8"/>
      <c r="I26" s="18">
        <f>H29</f>
        <v>0</v>
      </c>
      <c r="J26" s="18">
        <f t="shared" ref="J26:AG26" si="16">I29</f>
        <v>0</v>
      </c>
      <c r="K26" s="18">
        <f t="shared" si="16"/>
        <v>1873.7280000000001</v>
      </c>
      <c r="L26" s="18">
        <f t="shared" si="16"/>
        <v>5387.9279999999999</v>
      </c>
      <c r="M26" s="18">
        <f t="shared" si="16"/>
        <v>8644.6</v>
      </c>
      <c r="N26" s="18">
        <f t="shared" si="16"/>
        <v>10430.584000000003</v>
      </c>
      <c r="O26" s="18">
        <f t="shared" si="16"/>
        <v>11416.560000000003</v>
      </c>
      <c r="P26" s="18">
        <f t="shared" si="16"/>
        <v>13635.368000000006</v>
      </c>
      <c r="Q26" s="18">
        <f t="shared" si="16"/>
        <v>14872.088000000007</v>
      </c>
      <c r="R26" s="18">
        <f t="shared" si="16"/>
        <v>13136.720000000008</v>
      </c>
      <c r="S26" s="18">
        <f t="shared" si="16"/>
        <v>12828.26400000001</v>
      </c>
      <c r="T26" s="18">
        <f t="shared" si="16"/>
        <v>10361.264000000012</v>
      </c>
      <c r="U26" s="18">
        <f t="shared" si="16"/>
        <v>8766.2640000000138</v>
      </c>
      <c r="V26" s="18">
        <f t="shared" si="16"/>
        <v>6935.2640000000156</v>
      </c>
      <c r="W26" s="18">
        <f t="shared" si="16"/>
        <v>4253.2640000000174</v>
      </c>
      <c r="X26" s="18">
        <f t="shared" si="16"/>
        <v>2797.2640000000192</v>
      </c>
      <c r="Y26" s="18">
        <f t="shared" si="16"/>
        <v>1609.2640000000206</v>
      </c>
      <c r="Z26" s="18">
        <f t="shared" si="16"/>
        <v>939.26400000002195</v>
      </c>
      <c r="AA26" s="18">
        <f t="shared" si="16"/>
        <v>0</v>
      </c>
      <c r="AB26" s="18">
        <f t="shared" si="16"/>
        <v>0</v>
      </c>
      <c r="AC26" s="18">
        <f t="shared" si="16"/>
        <v>0</v>
      </c>
      <c r="AD26" s="18">
        <f t="shared" si="16"/>
        <v>0</v>
      </c>
      <c r="AE26" s="18">
        <f t="shared" si="16"/>
        <v>0</v>
      </c>
      <c r="AF26" s="18">
        <f t="shared" si="16"/>
        <v>0</v>
      </c>
      <c r="AG26" s="18">
        <f t="shared" si="16"/>
        <v>0</v>
      </c>
    </row>
    <row r="27" spans="2:34" x14ac:dyDescent="0.3">
      <c r="B27" s="8" t="s">
        <v>25</v>
      </c>
      <c r="C27" s="17" t="s">
        <v>11</v>
      </c>
      <c r="D27" s="8"/>
      <c r="E27" s="8"/>
      <c r="F27" s="8"/>
      <c r="G27" s="8"/>
      <c r="H27" s="10">
        <f>SUM(I27:AG27)</f>
        <v>25705.28000000001</v>
      </c>
      <c r="I27" s="18">
        <f>$D$21*AVERAGE(I12,I15)</f>
        <v>411.01600000000002</v>
      </c>
      <c r="J27" s="18">
        <f t="shared" ref="J27:AG27" si="17">$D$21*AVERAGE(J12,J15)</f>
        <v>2623.7280000000001</v>
      </c>
      <c r="K27" s="18">
        <f t="shared" si="17"/>
        <v>4401.2</v>
      </c>
      <c r="L27" s="18">
        <f t="shared" si="17"/>
        <v>4438.6720000000005</v>
      </c>
      <c r="M27" s="18">
        <f t="shared" si="17"/>
        <v>4144.9840000000013</v>
      </c>
      <c r="N27" s="18">
        <f t="shared" si="17"/>
        <v>3452.976000000001</v>
      </c>
      <c r="O27" s="18">
        <f t="shared" si="17"/>
        <v>2726.8080000000018</v>
      </c>
      <c r="P27" s="18">
        <f t="shared" si="17"/>
        <v>1947.7200000000014</v>
      </c>
      <c r="Q27" s="18">
        <f t="shared" si="17"/>
        <v>1168.6320000000017</v>
      </c>
      <c r="R27" s="18">
        <f t="shared" si="17"/>
        <v>389.54400000000146</v>
      </c>
      <c r="S27" s="18">
        <f t="shared" si="17"/>
        <v>1.4551915228366853E-12</v>
      </c>
      <c r="T27" s="18">
        <f t="shared" si="17"/>
        <v>1.4551915228366853E-12</v>
      </c>
      <c r="U27" s="18">
        <f t="shared" si="17"/>
        <v>1.4551915228366853E-12</v>
      </c>
      <c r="V27" s="18">
        <f t="shared" si="17"/>
        <v>1.4551915228366853E-12</v>
      </c>
      <c r="W27" s="18">
        <f t="shared" si="17"/>
        <v>1.4551915228366853E-12</v>
      </c>
      <c r="X27" s="18">
        <f t="shared" si="17"/>
        <v>1.4551915228366853E-12</v>
      </c>
      <c r="Y27" s="18">
        <f t="shared" si="17"/>
        <v>1.4551915228366853E-12</v>
      </c>
      <c r="Z27" s="18">
        <f t="shared" si="17"/>
        <v>1.4551915228366853E-12</v>
      </c>
      <c r="AA27" s="18">
        <f t="shared" si="17"/>
        <v>1.4551915228366853E-12</v>
      </c>
      <c r="AB27" s="18">
        <f t="shared" si="17"/>
        <v>1.4551915228366853E-12</v>
      </c>
      <c r="AC27" s="18">
        <f t="shared" si="17"/>
        <v>1.4551915228366853E-12</v>
      </c>
      <c r="AD27" s="18">
        <f t="shared" si="17"/>
        <v>1.4551915228366853E-12</v>
      </c>
      <c r="AE27" s="18">
        <f t="shared" si="17"/>
        <v>1.4551915228366853E-12</v>
      </c>
      <c r="AF27" s="18">
        <f t="shared" si="17"/>
        <v>1.4551915228366853E-12</v>
      </c>
      <c r="AG27" s="18">
        <f t="shared" si="17"/>
        <v>1.4551915228366853E-12</v>
      </c>
    </row>
    <row r="28" spans="2:34" x14ac:dyDescent="0.3">
      <c r="B28" s="8" t="s">
        <v>26</v>
      </c>
      <c r="C28" s="17" t="s">
        <v>11</v>
      </c>
      <c r="D28" s="8"/>
      <c r="E28" s="8"/>
      <c r="F28" s="8"/>
      <c r="G28" s="8"/>
      <c r="H28" s="10">
        <f>SUM(I28:AG28)</f>
        <v>-25705.280000000024</v>
      </c>
      <c r="I28" s="28">
        <f>(MAX(-SUM(I26:I27),-I24))*I$9</f>
        <v>-411.01600000000002</v>
      </c>
      <c r="J28" s="18">
        <f t="shared" ref="J28:AG28" si="18">(MAX(-SUM(J26:J27),-J24))*J$9</f>
        <v>-750</v>
      </c>
      <c r="K28" s="18">
        <f t="shared" si="18"/>
        <v>-887</v>
      </c>
      <c r="L28" s="18">
        <f t="shared" si="18"/>
        <v>-1182</v>
      </c>
      <c r="M28" s="18">
        <f t="shared" si="18"/>
        <v>-2359</v>
      </c>
      <c r="N28" s="18">
        <f t="shared" si="18"/>
        <v>-2467</v>
      </c>
      <c r="O28" s="18">
        <f t="shared" si="18"/>
        <v>-508</v>
      </c>
      <c r="P28" s="18">
        <f t="shared" si="18"/>
        <v>-711</v>
      </c>
      <c r="Q28" s="18">
        <f t="shared" si="18"/>
        <v>-2904</v>
      </c>
      <c r="R28" s="18">
        <f t="shared" si="18"/>
        <v>-698</v>
      </c>
      <c r="S28" s="18">
        <f t="shared" si="18"/>
        <v>-2467</v>
      </c>
      <c r="T28" s="18">
        <f t="shared" si="18"/>
        <v>-1595</v>
      </c>
      <c r="U28" s="18">
        <f t="shared" si="18"/>
        <v>-1831</v>
      </c>
      <c r="V28" s="18">
        <f t="shared" si="18"/>
        <v>-2682</v>
      </c>
      <c r="W28" s="18">
        <f t="shared" si="18"/>
        <v>-1456</v>
      </c>
      <c r="X28" s="18">
        <f t="shared" si="18"/>
        <v>-1188</v>
      </c>
      <c r="Y28" s="18">
        <f t="shared" si="18"/>
        <v>-670</v>
      </c>
      <c r="Z28" s="18">
        <f t="shared" si="18"/>
        <v>-939.26400000002343</v>
      </c>
      <c r="AA28" s="18">
        <f t="shared" si="18"/>
        <v>-1.4551915228366853E-12</v>
      </c>
      <c r="AB28" s="18">
        <f t="shared" si="18"/>
        <v>-1.4551915228366853E-12</v>
      </c>
      <c r="AC28" s="18">
        <f t="shared" si="18"/>
        <v>-1.4551915228366853E-12</v>
      </c>
      <c r="AD28" s="18">
        <f t="shared" si="18"/>
        <v>-1.4551915228366853E-12</v>
      </c>
      <c r="AE28" s="18">
        <f t="shared" si="18"/>
        <v>-1.4551915228366853E-12</v>
      </c>
      <c r="AF28" s="18">
        <f t="shared" si="18"/>
        <v>-1.4551915228366853E-12</v>
      </c>
      <c r="AG28" s="18">
        <f t="shared" si="18"/>
        <v>-1.4551915228366853E-12</v>
      </c>
    </row>
    <row r="29" spans="2:34" s="3" customFormat="1" ht="14.4" thickBot="1" x14ac:dyDescent="0.35">
      <c r="B29" s="20" t="s">
        <v>27</v>
      </c>
      <c r="C29" s="21" t="s">
        <v>11</v>
      </c>
      <c r="D29" s="20"/>
      <c r="E29" s="20"/>
      <c r="F29" s="20"/>
      <c r="G29" s="20"/>
      <c r="H29" s="29"/>
      <c r="I29" s="30">
        <f>SUM(I26:I28)</f>
        <v>0</v>
      </c>
      <c r="J29" s="30">
        <f t="shared" ref="J29:AG29" si="19">SUM(J26:J28)</f>
        <v>1873.7280000000001</v>
      </c>
      <c r="K29" s="30">
        <f t="shared" si="19"/>
        <v>5387.9279999999999</v>
      </c>
      <c r="L29" s="30">
        <f t="shared" si="19"/>
        <v>8644.6</v>
      </c>
      <c r="M29" s="30">
        <f t="shared" si="19"/>
        <v>10430.584000000003</v>
      </c>
      <c r="N29" s="30">
        <f t="shared" si="19"/>
        <v>11416.560000000003</v>
      </c>
      <c r="O29" s="30">
        <f t="shared" si="19"/>
        <v>13635.368000000006</v>
      </c>
      <c r="P29" s="30">
        <f t="shared" si="19"/>
        <v>14872.088000000007</v>
      </c>
      <c r="Q29" s="30">
        <f t="shared" si="19"/>
        <v>13136.720000000008</v>
      </c>
      <c r="R29" s="30">
        <f t="shared" si="19"/>
        <v>12828.26400000001</v>
      </c>
      <c r="S29" s="30">
        <f t="shared" si="19"/>
        <v>10361.264000000012</v>
      </c>
      <c r="T29" s="30">
        <f t="shared" si="19"/>
        <v>8766.2640000000138</v>
      </c>
      <c r="U29" s="30">
        <f t="shared" si="19"/>
        <v>6935.2640000000156</v>
      </c>
      <c r="V29" s="30">
        <f t="shared" si="19"/>
        <v>4253.2640000000174</v>
      </c>
      <c r="W29" s="30">
        <f t="shared" si="19"/>
        <v>2797.2640000000192</v>
      </c>
      <c r="X29" s="30">
        <f t="shared" si="19"/>
        <v>1609.2640000000206</v>
      </c>
      <c r="Y29" s="30">
        <f t="shared" si="19"/>
        <v>939.26400000002195</v>
      </c>
      <c r="Z29" s="30">
        <f t="shared" si="19"/>
        <v>0</v>
      </c>
      <c r="AA29" s="30">
        <f t="shared" si="19"/>
        <v>0</v>
      </c>
      <c r="AB29" s="30">
        <f t="shared" si="19"/>
        <v>0</v>
      </c>
      <c r="AC29" s="30">
        <f t="shared" si="19"/>
        <v>0</v>
      </c>
      <c r="AD29" s="30">
        <f t="shared" si="19"/>
        <v>0</v>
      </c>
      <c r="AE29" s="30">
        <f t="shared" si="19"/>
        <v>0</v>
      </c>
      <c r="AF29" s="30">
        <f t="shared" si="19"/>
        <v>0</v>
      </c>
      <c r="AG29" s="30">
        <f t="shared" si="19"/>
        <v>0</v>
      </c>
    </row>
    <row r="30" spans="2:34" ht="14.4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8086-1D9B-47C9-9186-B1A1F994879F}">
  <dimension ref="G2:K4"/>
  <sheetViews>
    <sheetView workbookViewId="0">
      <selection activeCell="H3" sqref="H3"/>
    </sheetView>
  </sheetViews>
  <sheetFormatPr defaultRowHeight="14.4" x14ac:dyDescent="0.3"/>
  <cols>
    <col min="7" max="7" width="10.5546875" bestFit="1" customWidth="1"/>
  </cols>
  <sheetData>
    <row r="2" spans="7:11" x14ac:dyDescent="0.3">
      <c r="J2" t="s">
        <v>30</v>
      </c>
      <c r="K2" t="s">
        <v>31</v>
      </c>
    </row>
    <row r="3" spans="7:11" x14ac:dyDescent="0.3">
      <c r="G3" s="2" t="s">
        <v>28</v>
      </c>
      <c r="J3" t="e" cm="1">
        <f t="array" ref="J3">con</f>
        <v>#NAME?</v>
      </c>
    </row>
    <row r="4" spans="7:11" x14ac:dyDescent="0.3">
      <c r="G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Alovsat Orucov</dc:creator>
  <cp:lastModifiedBy>Alovsat Orucov</cp:lastModifiedBy>
  <dcterms:created xsi:type="dcterms:W3CDTF">2025-12-21T15:06:24Z</dcterms:created>
  <dcterms:modified xsi:type="dcterms:W3CDTF">2025-12-21T18:11:32Z</dcterms:modified>
</cp:coreProperties>
</file>