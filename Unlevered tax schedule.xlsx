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04161735\Downloads\"/>
    </mc:Choice>
  </mc:AlternateContent>
  <xr:revisionPtr revIDLastSave="0" documentId="13_ncr:1_{E7A2B53E-1C4B-4E1D-86F4-E529A7E9F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H15" i="1"/>
  <c r="F15" i="1"/>
  <c r="F11" i="1"/>
  <c r="F10" i="1"/>
  <c r="F14" i="1"/>
  <c r="G8" i="1"/>
  <c r="G15" i="1" s="1"/>
  <c r="H8" i="1"/>
  <c r="I8" i="1"/>
  <c r="I15" i="1" s="1"/>
  <c r="J8" i="1"/>
  <c r="J15" i="1" s="1"/>
  <c r="K8" i="1"/>
  <c r="K15" i="1" s="1"/>
  <c r="L8" i="1"/>
  <c r="L15" i="1" s="1"/>
  <c r="M8" i="1"/>
  <c r="M15" i="1" s="1"/>
  <c r="N8" i="1"/>
  <c r="N15" i="1" s="1"/>
  <c r="O8" i="1"/>
  <c r="O15" i="1" s="1"/>
  <c r="P8" i="1"/>
  <c r="P15" i="1" s="1"/>
  <c r="Q8" i="1"/>
  <c r="Q15" i="1" s="1"/>
  <c r="F8" i="1"/>
  <c r="F17" i="1" l="1"/>
  <c r="G14" i="1" s="1"/>
  <c r="G10" i="1" l="1"/>
  <c r="G16" i="1" s="1"/>
  <c r="G11" i="1" l="1"/>
  <c r="G17" i="1"/>
  <c r="H14" i="1" s="1"/>
  <c r="H10" i="1" s="1"/>
  <c r="H16" i="1" s="1"/>
  <c r="H11" i="1" l="1"/>
  <c r="H17" i="1"/>
  <c r="I14" i="1" s="1"/>
  <c r="I10" i="1" s="1"/>
  <c r="I16" i="1" s="1"/>
  <c r="I11" i="1" l="1"/>
  <c r="I17" i="1"/>
  <c r="J14" i="1" s="1"/>
  <c r="J10" i="1" l="1"/>
  <c r="J16" i="1" s="1"/>
  <c r="J11" i="1" l="1"/>
  <c r="J17" i="1"/>
  <c r="K14" i="1" s="1"/>
  <c r="K10" i="1" l="1"/>
  <c r="K16" i="1" s="1"/>
  <c r="K11" i="1" l="1"/>
  <c r="K17" i="1"/>
  <c r="L14" i="1" s="1"/>
  <c r="L10" i="1" l="1"/>
  <c r="L16" i="1" s="1"/>
  <c r="L11" i="1" l="1"/>
  <c r="L17" i="1"/>
  <c r="M14" i="1" s="1"/>
  <c r="M10" i="1" l="1"/>
  <c r="M16" i="1" s="1"/>
  <c r="M11" i="1" l="1"/>
  <c r="M17" i="1"/>
  <c r="N14" i="1" s="1"/>
  <c r="N10" i="1" l="1"/>
  <c r="N16" i="1" s="1"/>
  <c r="N11" i="1" l="1"/>
  <c r="N17" i="1"/>
  <c r="O14" i="1" s="1"/>
  <c r="O10" i="1" l="1"/>
  <c r="O16" i="1" s="1"/>
  <c r="O11" i="1" l="1"/>
  <c r="O17" i="1"/>
  <c r="P14" i="1" s="1"/>
  <c r="P10" i="1" l="1"/>
  <c r="P16" i="1" s="1"/>
  <c r="P11" i="1" l="1"/>
  <c r="P17" i="1"/>
  <c r="Q14" i="1" s="1"/>
  <c r="Q10" i="1" l="1"/>
  <c r="Q16" i="1" s="1"/>
  <c r="Q11" i="1" l="1"/>
  <c r="Q17" i="1"/>
</calcChain>
</file>

<file path=xl/sharedStrings.xml><?xml version="1.0" encoding="utf-8"?>
<sst xmlns="http://schemas.openxmlformats.org/spreadsheetml/2006/main" count="21" uniqueCount="21">
  <si>
    <t>Tax rate</t>
  </si>
  <si>
    <t>31/12/2026</t>
  </si>
  <si>
    <t>31/12/2027</t>
  </si>
  <si>
    <t>31/12/2028</t>
  </si>
  <si>
    <t>31/12/2029</t>
  </si>
  <si>
    <t>31/12/2030</t>
  </si>
  <si>
    <t>31/12/2031</t>
  </si>
  <si>
    <t>31/12/2032</t>
  </si>
  <si>
    <t>31/12/2033</t>
  </si>
  <si>
    <t>31/12/2034</t>
  </si>
  <si>
    <t>31/12/2035</t>
  </si>
  <si>
    <t>31/12/2036</t>
  </si>
  <si>
    <t>31/12/2037</t>
  </si>
  <si>
    <t>EBIT</t>
  </si>
  <si>
    <t>Positive flag</t>
  </si>
  <si>
    <t>Tax loss b/f</t>
  </si>
  <si>
    <t>Addition</t>
  </si>
  <si>
    <t>Deduction</t>
  </si>
  <si>
    <t>Tax loss c/d</t>
  </si>
  <si>
    <t>Taxable base</t>
  </si>
  <si>
    <t>Current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</si>
</sst>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/>
      <top/>
      <bottom/>
      <diagonal/>
    </border>
    <border>
      <left style="thin">
        <color theme="3" tint="0.59999389629810485"/>
      </left>
      <right/>
      <top/>
      <bottom style="medium">
        <color indexed="64"/>
      </bottom>
      <diagonal/>
    </border>
    <border>
      <left style="thin">
        <color theme="3" tint="0.59999389629810485"/>
      </left>
      <right/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9" fontId="0" fillId="2" borderId="0" xfId="0" applyNumberFormat="1" applyFill="1"/>
    <xf numFmtId="0" fontId="2" fillId="0" borderId="0" xfId="0" applyFont="1"/>
    <xf numFmtId="0" fontId="2" fillId="0" borderId="1" xfId="0" applyFont="1" applyBorder="1"/>
    <xf numFmtId="165" fontId="0" fillId="0" borderId="0" xfId="1" applyNumberFormat="1" applyFont="1"/>
    <xf numFmtId="165" fontId="2" fillId="0" borderId="0" xfId="1" applyNumberFormat="1" applyFont="1"/>
    <xf numFmtId="0" fontId="2" fillId="0" borderId="2" xfId="0" applyFont="1" applyBorder="1"/>
    <xf numFmtId="165" fontId="2" fillId="0" borderId="2" xfId="1" applyNumberFormat="1" applyFont="1" applyBorder="1"/>
    <xf numFmtId="0" fontId="2" fillId="0" borderId="3" xfId="0" applyFont="1" applyBorder="1"/>
    <xf numFmtId="165" fontId="2" fillId="0" borderId="3" xfId="1" applyNumberFormat="1" applyFont="1" applyBorder="1"/>
    <xf numFmtId="0" fontId="4" fillId="0" borderId="0" xfId="0" applyFont="1"/>
    <xf numFmtId="0" fontId="2" fillId="0" borderId="5" xfId="0" applyFont="1" applyBorder="1"/>
    <xf numFmtId="165" fontId="0" fillId="0" borderId="4" xfId="1" applyNumberFormat="1" applyFont="1" applyBorder="1"/>
    <xf numFmtId="0" fontId="4" fillId="0" borderId="4" xfId="0" applyFont="1" applyBorder="1"/>
    <xf numFmtId="0" fontId="0" fillId="0" borderId="4" xfId="0" applyBorder="1"/>
    <xf numFmtId="165" fontId="2" fillId="0" borderId="6" xfId="1" applyNumberFormat="1" applyFont="1" applyBorder="1"/>
    <xf numFmtId="165" fontId="2" fillId="0" borderId="4" xfId="1" applyNumberFormat="1" applyFont="1" applyBorder="1"/>
    <xf numFmtId="165" fontId="2" fillId="0" borderId="7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22"/>
  <sheetViews>
    <sheetView showGridLines="0" tabSelected="1" workbookViewId="0">
      <selection activeCell="D4" sqref="D4"/>
    </sheetView>
  </sheetViews>
  <sheetFormatPr defaultColWidth="0" defaultRowHeight="14.4" zeroHeight="1" x14ac:dyDescent="0.3"/>
  <cols>
    <col min="1" max="3" width="8.88671875" customWidth="1"/>
    <col min="4" max="4" width="10.77734375" bestFit="1" customWidth="1"/>
    <col min="5" max="5" width="2.77734375" customWidth="1"/>
    <col min="6" max="17" width="10.5546875" bestFit="1" customWidth="1"/>
    <col min="18" max="19" width="8.88671875" customWidth="1"/>
    <col min="20" max="16384" width="8.88671875" hidden="1"/>
  </cols>
  <sheetData>
    <row r="1" spans="3:17" x14ac:dyDescent="0.3"/>
    <row r="2" spans="3:17" x14ac:dyDescent="0.3"/>
    <row r="3" spans="3:17" x14ac:dyDescent="0.3">
      <c r="C3" s="2" t="s">
        <v>0</v>
      </c>
      <c r="D3" s="1">
        <v>0.2</v>
      </c>
    </row>
    <row r="4" spans="3:17" x14ac:dyDescent="0.3"/>
    <row r="5" spans="3:17" x14ac:dyDescent="0.3"/>
    <row r="6" spans="3:17" ht="15" thickBot="1" x14ac:dyDescent="0.35">
      <c r="F6" s="3" t="s">
        <v>1</v>
      </c>
      <c r="G6" s="11" t="s">
        <v>2</v>
      </c>
      <c r="H6" s="11" t="s">
        <v>3</v>
      </c>
      <c r="I6" s="11" t="s">
        <v>4</v>
      </c>
      <c r="J6" s="11" t="s">
        <v>5</v>
      </c>
      <c r="K6" s="11" t="s">
        <v>6</v>
      </c>
      <c r="L6" s="11" t="s">
        <v>7</v>
      </c>
      <c r="M6" s="11" t="s">
        <v>8</v>
      </c>
      <c r="N6" s="11" t="s">
        <v>9</v>
      </c>
      <c r="O6" s="11" t="s">
        <v>10</v>
      </c>
      <c r="P6" s="11" t="s">
        <v>11</v>
      </c>
      <c r="Q6" s="11" t="s">
        <v>12</v>
      </c>
    </row>
    <row r="7" spans="3:17" x14ac:dyDescent="0.3">
      <c r="D7" t="s">
        <v>13</v>
      </c>
      <c r="F7" s="4">
        <v>4483</v>
      </c>
      <c r="G7" s="12">
        <v>2676</v>
      </c>
      <c r="H7" s="12">
        <v>-9484</v>
      </c>
      <c r="I7" s="12">
        <v>-8263</v>
      </c>
      <c r="J7" s="12">
        <v>4932</v>
      </c>
      <c r="K7" s="12">
        <v>-2062</v>
      </c>
      <c r="L7" s="12">
        <v>8838</v>
      </c>
      <c r="M7" s="12">
        <v>2823</v>
      </c>
      <c r="N7" s="12">
        <v>328</v>
      </c>
      <c r="O7" s="12">
        <v>8850</v>
      </c>
      <c r="P7" s="12">
        <v>-8977</v>
      </c>
      <c r="Q7" s="12">
        <v>3385</v>
      </c>
    </row>
    <row r="8" spans="3:17" s="10" customFormat="1" x14ac:dyDescent="0.3">
      <c r="D8" s="10" t="s">
        <v>14</v>
      </c>
      <c r="F8" s="10">
        <f>IF(F7&gt;0, 1, 0)</f>
        <v>1</v>
      </c>
      <c r="G8" s="13">
        <f t="shared" ref="G8:Q8" si="0">IF(G7&gt;0, 1, 0)</f>
        <v>1</v>
      </c>
      <c r="H8" s="13">
        <f t="shared" si="0"/>
        <v>0</v>
      </c>
      <c r="I8" s="13">
        <f t="shared" si="0"/>
        <v>0</v>
      </c>
      <c r="J8" s="13">
        <f t="shared" si="0"/>
        <v>1</v>
      </c>
      <c r="K8" s="13">
        <f t="shared" si="0"/>
        <v>0</v>
      </c>
      <c r="L8" s="13">
        <f t="shared" si="0"/>
        <v>1</v>
      </c>
      <c r="M8" s="13">
        <f t="shared" si="0"/>
        <v>1</v>
      </c>
      <c r="N8" s="13">
        <f t="shared" si="0"/>
        <v>1</v>
      </c>
      <c r="O8" s="13">
        <f t="shared" si="0"/>
        <v>1</v>
      </c>
      <c r="P8" s="13">
        <f t="shared" si="0"/>
        <v>0</v>
      </c>
      <c r="Q8" s="13">
        <f t="shared" si="0"/>
        <v>1</v>
      </c>
    </row>
    <row r="9" spans="3:17" x14ac:dyDescent="0.3"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3:17" x14ac:dyDescent="0.3">
      <c r="D10" t="s">
        <v>19</v>
      </c>
      <c r="F10" s="4">
        <f>IF((F7+F14)*F8&lt;0, 0, (F7+F14)*F8)</f>
        <v>4483</v>
      </c>
      <c r="G10" s="12">
        <f t="shared" ref="G10:Q10" si="1">IF((G7+G14)*G8&lt;0, 0, (G7+G14)*G8)</f>
        <v>2676</v>
      </c>
      <c r="H10" s="12">
        <f t="shared" si="1"/>
        <v>0</v>
      </c>
      <c r="I10" s="12">
        <f t="shared" si="1"/>
        <v>0</v>
      </c>
      <c r="J10" s="12">
        <f t="shared" si="1"/>
        <v>1382.5999999999995</v>
      </c>
      <c r="K10" s="12">
        <f t="shared" si="1"/>
        <v>0</v>
      </c>
      <c r="L10" s="12">
        <f t="shared" si="1"/>
        <v>8425.6</v>
      </c>
      <c r="M10" s="12">
        <f t="shared" si="1"/>
        <v>2823</v>
      </c>
      <c r="N10" s="12">
        <f t="shared" si="1"/>
        <v>328</v>
      </c>
      <c r="O10" s="12">
        <f t="shared" si="1"/>
        <v>8850</v>
      </c>
      <c r="P10" s="12">
        <f t="shared" si="1"/>
        <v>0</v>
      </c>
      <c r="Q10" s="12">
        <f t="shared" si="1"/>
        <v>1589.6</v>
      </c>
    </row>
    <row r="11" spans="3:17" x14ac:dyDescent="0.3">
      <c r="D11" s="8" t="s">
        <v>20</v>
      </c>
      <c r="E11" s="8"/>
      <c r="F11" s="9">
        <f>F10*$D$3</f>
        <v>896.6</v>
      </c>
      <c r="G11" s="15">
        <f t="shared" ref="G11:Q11" si="2">G10*$D$3</f>
        <v>535.20000000000005</v>
      </c>
      <c r="H11" s="15">
        <f t="shared" si="2"/>
        <v>0</v>
      </c>
      <c r="I11" s="15">
        <f t="shared" si="2"/>
        <v>0</v>
      </c>
      <c r="J11" s="15">
        <f t="shared" si="2"/>
        <v>276.51999999999992</v>
      </c>
      <c r="K11" s="15">
        <f t="shared" si="2"/>
        <v>0</v>
      </c>
      <c r="L11" s="15">
        <f t="shared" si="2"/>
        <v>1685.1200000000001</v>
      </c>
      <c r="M11" s="15">
        <f t="shared" si="2"/>
        <v>564.6</v>
      </c>
      <c r="N11" s="15">
        <f t="shared" si="2"/>
        <v>65.600000000000009</v>
      </c>
      <c r="O11" s="15">
        <f t="shared" si="2"/>
        <v>1770</v>
      </c>
      <c r="P11" s="15">
        <f t="shared" si="2"/>
        <v>0</v>
      </c>
      <c r="Q11" s="15">
        <f t="shared" si="2"/>
        <v>317.92</v>
      </c>
    </row>
    <row r="12" spans="3:17" x14ac:dyDescent="0.3">
      <c r="F12" s="4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3:17" x14ac:dyDescent="0.3">
      <c r="F13" s="4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3:17" x14ac:dyDescent="0.3">
      <c r="D14" s="2" t="s">
        <v>15</v>
      </c>
      <c r="E14" s="2"/>
      <c r="F14" s="5">
        <f>E17</f>
        <v>0</v>
      </c>
      <c r="G14" s="16">
        <f t="shared" ref="G14:Q14" si="3">F17</f>
        <v>0</v>
      </c>
      <c r="H14" s="16">
        <f t="shared" si="3"/>
        <v>0</v>
      </c>
      <c r="I14" s="16">
        <f t="shared" si="3"/>
        <v>-1896.8000000000002</v>
      </c>
      <c r="J14" s="16">
        <f t="shared" si="3"/>
        <v>-3549.4000000000005</v>
      </c>
      <c r="K14" s="16">
        <f t="shared" si="3"/>
        <v>0</v>
      </c>
      <c r="L14" s="16">
        <f t="shared" si="3"/>
        <v>-412.40000000000003</v>
      </c>
      <c r="M14" s="16">
        <f t="shared" si="3"/>
        <v>0</v>
      </c>
      <c r="N14" s="16">
        <f t="shared" si="3"/>
        <v>0</v>
      </c>
      <c r="O14" s="16">
        <f t="shared" si="3"/>
        <v>0</v>
      </c>
      <c r="P14" s="16">
        <f t="shared" si="3"/>
        <v>0</v>
      </c>
      <c r="Q14" s="16">
        <f t="shared" si="3"/>
        <v>-1795.4</v>
      </c>
    </row>
    <row r="15" spans="3:17" x14ac:dyDescent="0.3">
      <c r="D15" t="s">
        <v>16</v>
      </c>
      <c r="F15" s="4">
        <f>F7*$D$3*(1-F8)</f>
        <v>0</v>
      </c>
      <c r="G15" s="12">
        <f t="shared" ref="G15:Q15" si="4">G7*$D$3*(1-G8)</f>
        <v>0</v>
      </c>
      <c r="H15" s="12">
        <f t="shared" si="4"/>
        <v>-1896.8000000000002</v>
      </c>
      <c r="I15" s="12">
        <f t="shared" si="4"/>
        <v>-1652.6000000000001</v>
      </c>
      <c r="J15" s="12">
        <f t="shared" si="4"/>
        <v>0</v>
      </c>
      <c r="K15" s="12">
        <f t="shared" si="4"/>
        <v>-412.40000000000003</v>
      </c>
      <c r="L15" s="12">
        <f t="shared" si="4"/>
        <v>0</v>
      </c>
      <c r="M15" s="12">
        <f t="shared" si="4"/>
        <v>0</v>
      </c>
      <c r="N15" s="12">
        <f t="shared" si="4"/>
        <v>0</v>
      </c>
      <c r="O15" s="12">
        <f t="shared" si="4"/>
        <v>0</v>
      </c>
      <c r="P15" s="12">
        <f t="shared" si="4"/>
        <v>-1795.4</v>
      </c>
      <c r="Q15" s="12">
        <f t="shared" si="4"/>
        <v>0</v>
      </c>
    </row>
    <row r="16" spans="3:17" x14ac:dyDescent="0.3">
      <c r="D16" t="s">
        <v>17</v>
      </c>
      <c r="F16" s="4">
        <f>(F7-F10)*F8</f>
        <v>0</v>
      </c>
      <c r="G16" s="12">
        <f t="shared" ref="G16:Q16" si="5">(G7-G10)*G8</f>
        <v>0</v>
      </c>
      <c r="H16" s="12">
        <f t="shared" si="5"/>
        <v>0</v>
      </c>
      <c r="I16" s="12">
        <f t="shared" si="5"/>
        <v>0</v>
      </c>
      <c r="J16" s="12">
        <f t="shared" si="5"/>
        <v>3549.4000000000005</v>
      </c>
      <c r="K16" s="12">
        <f t="shared" si="5"/>
        <v>0</v>
      </c>
      <c r="L16" s="12">
        <f t="shared" si="5"/>
        <v>412.39999999999964</v>
      </c>
      <c r="M16" s="12">
        <f t="shared" si="5"/>
        <v>0</v>
      </c>
      <c r="N16" s="12">
        <f t="shared" si="5"/>
        <v>0</v>
      </c>
      <c r="O16" s="12">
        <f t="shared" si="5"/>
        <v>0</v>
      </c>
      <c r="P16" s="12">
        <f t="shared" si="5"/>
        <v>0</v>
      </c>
      <c r="Q16" s="12">
        <f t="shared" si="5"/>
        <v>1795.4</v>
      </c>
    </row>
    <row r="17" spans="4:17" s="2" customFormat="1" x14ac:dyDescent="0.3">
      <c r="D17" s="6" t="s">
        <v>18</v>
      </c>
      <c r="E17" s="6"/>
      <c r="F17" s="7">
        <f>SUM(F14:F16)</f>
        <v>0</v>
      </c>
      <c r="G17" s="17">
        <f t="shared" ref="G17:Q17" si="6">SUM(G14:G16)</f>
        <v>0</v>
      </c>
      <c r="H17" s="17">
        <f t="shared" si="6"/>
        <v>-1896.8000000000002</v>
      </c>
      <c r="I17" s="17">
        <f t="shared" si="6"/>
        <v>-3549.4000000000005</v>
      </c>
      <c r="J17" s="17">
        <f t="shared" si="6"/>
        <v>0</v>
      </c>
      <c r="K17" s="17">
        <f t="shared" si="6"/>
        <v>-412.40000000000003</v>
      </c>
      <c r="L17" s="17">
        <f t="shared" si="6"/>
        <v>0</v>
      </c>
      <c r="M17" s="17">
        <f t="shared" si="6"/>
        <v>0</v>
      </c>
      <c r="N17" s="17">
        <f t="shared" si="6"/>
        <v>0</v>
      </c>
      <c r="O17" s="17">
        <f t="shared" si="6"/>
        <v>0</v>
      </c>
      <c r="P17" s="17">
        <f t="shared" si="6"/>
        <v>-1795.4</v>
      </c>
      <c r="Q17" s="17">
        <f t="shared" si="6"/>
        <v>0</v>
      </c>
    </row>
    <row r="18" spans="4:17" x14ac:dyDescent="0.3"/>
    <row r="19" spans="4:17" x14ac:dyDescent="0.3"/>
    <row r="20" spans="4:17" x14ac:dyDescent="0.3"/>
    <row r="21" spans="4:17" x14ac:dyDescent="0.3"/>
    <row r="22" spans="4:17" x14ac:dyDescent="0.3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Alovsat Orucov</dc:creator>
  <cp:lastModifiedBy>Alovsat Orucov</cp:lastModifiedBy>
  <dcterms:created xsi:type="dcterms:W3CDTF">2015-06-05T18:17:20Z</dcterms:created>
  <dcterms:modified xsi:type="dcterms:W3CDTF">2026-01-02T19:14:45Z</dcterms:modified>
</cp:coreProperties>
</file>