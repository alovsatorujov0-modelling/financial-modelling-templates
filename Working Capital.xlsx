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4161735\Documents\"/>
    </mc:Choice>
  </mc:AlternateContent>
  <xr:revisionPtr revIDLastSave="0" documentId="8_{E7134776-3843-4C61-946F-65CB969CF00D}" xr6:coauthVersionLast="47" xr6:coauthVersionMax="47" xr10:uidLastSave="{00000000-0000-0000-0000-000000000000}"/>
  <bookViews>
    <workbookView xWindow="-108" yWindow="-108" windowWidth="23256" windowHeight="12456" xr2:uid="{C8D3B206-E9B0-4061-B903-B648F7B281CD}"/>
  </bookViews>
  <sheets>
    <sheet name="Working Capita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D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C19" i="1"/>
  <c r="E16" i="1"/>
  <c r="F16" i="1"/>
  <c r="G16" i="1"/>
  <c r="H16" i="1"/>
  <c r="I16" i="1"/>
  <c r="J16" i="1"/>
  <c r="D16" i="1"/>
  <c r="E14" i="1"/>
  <c r="F14" i="1"/>
  <c r="G14" i="1"/>
  <c r="H14" i="1"/>
  <c r="I14" i="1"/>
  <c r="J14" i="1"/>
  <c r="D14" i="1"/>
  <c r="K16" i="1" l="1"/>
  <c r="N5" i="1" s="1"/>
  <c r="R5" i="1"/>
  <c r="K5" i="1"/>
  <c r="K7" i="1" s="1"/>
  <c r="M5" i="1"/>
  <c r="P5" i="1"/>
  <c r="Q5" i="1"/>
  <c r="K14" i="1"/>
  <c r="E7" i="1"/>
  <c r="E15" i="1" s="1"/>
  <c r="F7" i="1"/>
  <c r="F15" i="1" s="1"/>
  <c r="G7" i="1"/>
  <c r="G15" i="1" s="1"/>
  <c r="H7" i="1"/>
  <c r="H15" i="1" s="1"/>
  <c r="I7" i="1"/>
  <c r="I15" i="1" s="1"/>
  <c r="J7" i="1"/>
  <c r="J15" i="1" s="1"/>
  <c r="N7" i="1"/>
  <c r="Q7" i="1"/>
  <c r="R7" i="1"/>
  <c r="D7" i="1"/>
  <c r="D15" i="1" s="1"/>
  <c r="L5" i="1" l="1"/>
  <c r="O5" i="1"/>
  <c r="Q4" i="1"/>
  <c r="P4" i="1"/>
  <c r="R4" i="1"/>
  <c r="O4" i="1"/>
  <c r="N4" i="1"/>
  <c r="M4" i="1"/>
  <c r="L4" i="1"/>
  <c r="K4" i="1"/>
  <c r="K15" i="1"/>
  <c r="N6" i="1" s="1"/>
  <c r="P7" i="1" l="1"/>
  <c r="O7" i="1"/>
  <c r="L7" i="1"/>
  <c r="M7" i="1"/>
  <c r="L6" i="1"/>
  <c r="P6" i="1"/>
  <c r="Q6" i="1"/>
  <c r="R6" i="1"/>
  <c r="M6" i="1"/>
  <c r="O6" i="1"/>
  <c r="K6" i="1"/>
</calcChain>
</file>

<file path=xl/sharedStrings.xml><?xml version="1.0" encoding="utf-8"?>
<sst xmlns="http://schemas.openxmlformats.org/spreadsheetml/2006/main" count="30" uniqueCount="16">
  <si>
    <t>Inventories</t>
  </si>
  <si>
    <t>Purchases</t>
  </si>
  <si>
    <t>Revenue</t>
  </si>
  <si>
    <t>Cost of Sales</t>
  </si>
  <si>
    <t>MEDIAN</t>
  </si>
  <si>
    <t>Receivables Days</t>
  </si>
  <si>
    <t>Payables Days</t>
  </si>
  <si>
    <t>Inventory Days</t>
  </si>
  <si>
    <t>Trade receivables</t>
  </si>
  <si>
    <t>Trade payables</t>
  </si>
  <si>
    <t>Forecast</t>
  </si>
  <si>
    <t xml:space="preserve">Historical </t>
  </si>
  <si>
    <t>Working days</t>
  </si>
  <si>
    <t>Working capital</t>
  </si>
  <si>
    <t>Net Working Capital</t>
  </si>
  <si>
    <t>Change in NWC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</si>
</sst>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darkUp">
        <fgColor theme="0"/>
        <bgColor theme="2" tint="-9.9948118533890809E-2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4"/>
    <xf numFmtId="0" fontId="1" fillId="3" borderId="4"/>
  </cellStyleXfs>
  <cellXfs count="10">
    <xf numFmtId="0" fontId="0" fillId="0" borderId="0" xfId="0"/>
    <xf numFmtId="165" fontId="0" fillId="0" borderId="0" xfId="1" applyNumberFormat="1" applyFont="1"/>
    <xf numFmtId="0" fontId="2" fillId="2" borderId="0" xfId="0" applyFont="1" applyFill="1"/>
    <xf numFmtId="0" fontId="4" fillId="0" borderId="0" xfId="0" applyFont="1"/>
    <xf numFmtId="0" fontId="3" fillId="0" borderId="1" xfId="0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1" fillId="0" borderId="4" xfId="2"/>
    <xf numFmtId="0" fontId="1" fillId="3" borderId="4" xfId="3"/>
    <xf numFmtId="165" fontId="5" fillId="0" borderId="4" xfId="2" applyFont="1"/>
  </cellXfs>
  <cellStyles count="4">
    <cellStyle name="Comma" xfId="1" builtinId="3"/>
    <cellStyle name="Normal" xfId="0" builtinId="0"/>
    <cellStyle name="Style 1" xfId="2" xr:uid="{39526A32-46C2-4646-86A6-61F882D2DA76}"/>
    <cellStyle name="Style 2" xfId="3" xr:uid="{B23ECF99-D93F-4FDC-A769-A584EB3B6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C3F2-1110-489C-A595-A9753925C073}">
  <dimension ref="B1:R24"/>
  <sheetViews>
    <sheetView showGridLines="0" tabSelected="1" topLeftCell="D1" workbookViewId="0">
      <selection activeCell="F9" sqref="F9"/>
    </sheetView>
  </sheetViews>
  <sheetFormatPr defaultColWidth="0" defaultRowHeight="14.4" zeroHeight="1" x14ac:dyDescent="0.3"/>
  <cols>
    <col min="1" max="1" width="8.88671875" customWidth="1"/>
    <col min="2" max="2" width="30.77734375" customWidth="1"/>
    <col min="3" max="18" width="12.77734375" customWidth="1"/>
    <col min="19" max="19" width="8.88671875" customWidth="1"/>
    <col min="20" max="16384" width="8.88671875" hidden="1"/>
  </cols>
  <sheetData>
    <row r="1" spans="2:18" x14ac:dyDescent="0.3"/>
    <row r="2" spans="2:18" x14ac:dyDescent="0.3"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10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</row>
    <row r="3" spans="2:18" x14ac:dyDescent="0.3">
      <c r="B3" s="2" t="s">
        <v>13</v>
      </c>
      <c r="C3" s="2">
        <v>2016</v>
      </c>
      <c r="D3" s="2">
        <v>2017</v>
      </c>
      <c r="E3" s="2">
        <v>2018</v>
      </c>
      <c r="F3" s="2">
        <v>2019</v>
      </c>
      <c r="G3" s="2">
        <v>2020</v>
      </c>
      <c r="H3" s="2">
        <v>2021</v>
      </c>
      <c r="I3" s="2">
        <v>2022</v>
      </c>
      <c r="J3" s="2">
        <v>2023</v>
      </c>
      <c r="K3" s="2">
        <v>2024</v>
      </c>
      <c r="L3" s="2">
        <v>2025</v>
      </c>
      <c r="M3" s="2">
        <v>2026</v>
      </c>
      <c r="N3" s="2">
        <v>2027</v>
      </c>
      <c r="O3" s="2">
        <v>2028</v>
      </c>
      <c r="P3" s="2">
        <v>2029</v>
      </c>
      <c r="Q3" s="2">
        <v>2030</v>
      </c>
      <c r="R3" s="2">
        <v>2031</v>
      </c>
    </row>
    <row r="4" spans="2:18" x14ac:dyDescent="0.3">
      <c r="B4" t="s">
        <v>8</v>
      </c>
      <c r="C4" s="9">
        <v>91295208.823529407</v>
      </c>
      <c r="D4" s="9">
        <v>60456556.058823533</v>
      </c>
      <c r="E4" s="9">
        <v>54237999.999999993</v>
      </c>
      <c r="F4" s="9">
        <v>57147000</v>
      </c>
      <c r="G4" s="9">
        <v>62538000</v>
      </c>
      <c r="H4" s="9">
        <v>31197000</v>
      </c>
      <c r="I4" s="9">
        <v>39795489.462572254</v>
      </c>
      <c r="J4" s="9">
        <v>62719552.593641549</v>
      </c>
      <c r="K4" s="7">
        <f>K8*$K$14/K11</f>
        <v>60582661.459727436</v>
      </c>
      <c r="L4" s="7">
        <f t="shared" ref="L4:R4" si="0">L8*$K$14/L11</f>
        <v>45436996.094795577</v>
      </c>
      <c r="M4" s="7">
        <f t="shared" si="0"/>
        <v>22380108.353787791</v>
      </c>
      <c r="N4" s="7">
        <f t="shared" si="0"/>
        <v>22850090.62921733</v>
      </c>
      <c r="O4" s="7">
        <f t="shared" si="0"/>
        <v>23397755.341119613</v>
      </c>
      <c r="P4" s="7">
        <f t="shared" si="0"/>
        <v>23833870.961473033</v>
      </c>
      <c r="Q4" s="7">
        <f t="shared" si="0"/>
        <v>24344630.816177398</v>
      </c>
      <c r="R4" s="7">
        <f t="shared" si="0"/>
        <v>12330977.704320064</v>
      </c>
    </row>
    <row r="5" spans="2:18" x14ac:dyDescent="0.3">
      <c r="B5" t="s">
        <v>0</v>
      </c>
      <c r="C5" s="9">
        <v>11013753.999999998</v>
      </c>
      <c r="D5" s="9">
        <v>7394434.9411764704</v>
      </c>
      <c r="E5" s="9">
        <v>27857000</v>
      </c>
      <c r="F5" s="9">
        <v>31732000</v>
      </c>
      <c r="G5" s="9">
        <v>37342000</v>
      </c>
      <c r="H5" s="9">
        <v>43111000</v>
      </c>
      <c r="I5" s="9">
        <v>40392460.1723281</v>
      </c>
      <c r="J5" s="9">
        <v>50229318.934395798</v>
      </c>
      <c r="K5" s="7">
        <f>-K9*$K$16/K11</f>
        <v>38173930.863564312</v>
      </c>
      <c r="L5" s="7">
        <f t="shared" ref="L5:R5" si="1">-L9*$K$16/L11</f>
        <v>28630448.147673234</v>
      </c>
      <c r="M5" s="7">
        <f t="shared" si="1"/>
        <v>7937544.0700771334</v>
      </c>
      <c r="N5" s="7">
        <f t="shared" si="1"/>
        <v>8255045.8328802213</v>
      </c>
      <c r="O5" s="7">
        <f t="shared" si="1"/>
        <v>8608768.8926781528</v>
      </c>
      <c r="P5" s="7">
        <f t="shared" si="1"/>
        <v>8928657.5728432462</v>
      </c>
      <c r="Q5" s="7">
        <f t="shared" si="1"/>
        <v>9285803.8757569734</v>
      </c>
      <c r="R5" s="7">
        <f t="shared" si="1"/>
        <v>8767792.6274108067</v>
      </c>
    </row>
    <row r="6" spans="2:18" x14ac:dyDescent="0.3">
      <c r="B6" t="s">
        <v>9</v>
      </c>
      <c r="C6" s="9">
        <v>-105621213.4117647</v>
      </c>
      <c r="D6" s="9">
        <v>-88926230.647058845</v>
      </c>
      <c r="E6" s="9">
        <v>-120001776.1541605</v>
      </c>
      <c r="F6" s="9">
        <v>-63304000</v>
      </c>
      <c r="G6" s="9">
        <v>-55506000</v>
      </c>
      <c r="H6" s="9">
        <v>-47622000</v>
      </c>
      <c r="I6" s="9">
        <v>-56963308.476348683</v>
      </c>
      <c r="J6" s="9">
        <v>-38467645.583705805</v>
      </c>
      <c r="K6" s="7">
        <f>-K7*$K$15/K11</f>
        <v>-55656617.989735425</v>
      </c>
      <c r="L6" s="7">
        <f t="shared" ref="L6:R6" si="2">-L7*$K$15/L11</f>
        <v>-41564538.836083204</v>
      </c>
      <c r="M6" s="7">
        <f t="shared" si="2"/>
        <v>-5126218.7053640746</v>
      </c>
      <c r="N6" s="7">
        <f t="shared" si="2"/>
        <v>-13072287.253578829</v>
      </c>
      <c r="O6" s="7">
        <f t="shared" si="2"/>
        <v>-13640442.765044907</v>
      </c>
      <c r="P6" s="7">
        <f t="shared" si="2"/>
        <v>-14130648.258948358</v>
      </c>
      <c r="Q6" s="7">
        <f t="shared" si="2"/>
        <v>-14704545.329209689</v>
      </c>
      <c r="R6" s="7">
        <f t="shared" si="2"/>
        <v>-13581090.837802816</v>
      </c>
    </row>
    <row r="7" spans="2:18" x14ac:dyDescent="0.3">
      <c r="B7" t="s">
        <v>1</v>
      </c>
      <c r="C7" s="8"/>
      <c r="D7" s="7">
        <f>IF(D5-D9-C5&gt;0,D5-D9-C5,0)</f>
        <v>130104827.17110059</v>
      </c>
      <c r="E7" s="7">
        <f t="shared" ref="E7:R7" si="3">IF(E5-E9-D5&gt;0,E5-E9-D5,0)</f>
        <v>208890588.67219904</v>
      </c>
      <c r="F7" s="7">
        <f t="shared" si="3"/>
        <v>184050999.99999899</v>
      </c>
      <c r="G7" s="7">
        <f t="shared" si="3"/>
        <v>170993254.9483473</v>
      </c>
      <c r="H7" s="7">
        <f t="shared" si="3"/>
        <v>134345999.99999946</v>
      </c>
      <c r="I7" s="7">
        <f t="shared" si="3"/>
        <v>131817277.83983356</v>
      </c>
      <c r="J7" s="7">
        <f t="shared" si="3"/>
        <v>145091080.61176914</v>
      </c>
      <c r="K7" s="7">
        <f t="shared" si="3"/>
        <v>157012389.24129534</v>
      </c>
      <c r="L7" s="7">
        <f t="shared" si="3"/>
        <v>117257350.26820403</v>
      </c>
      <c r="M7" s="7">
        <f t="shared" si="3"/>
        <v>14461529.927152142</v>
      </c>
      <c r="N7" s="7">
        <f t="shared" si="3"/>
        <v>36878113.12774127</v>
      </c>
      <c r="O7" s="7">
        <f t="shared" si="3"/>
        <v>38480931.580209069</v>
      </c>
      <c r="P7" s="7">
        <f t="shared" si="3"/>
        <v>39863845.932482228</v>
      </c>
      <c r="Q7" s="7">
        <f t="shared" si="3"/>
        <v>41482861.845323533</v>
      </c>
      <c r="R7" s="7">
        <f t="shared" si="3"/>
        <v>38313494.38695246</v>
      </c>
    </row>
    <row r="8" spans="2:18" x14ac:dyDescent="0.3">
      <c r="B8" t="s">
        <v>2</v>
      </c>
      <c r="C8" s="9">
        <v>419815481.96718532</v>
      </c>
      <c r="D8" s="9">
        <v>350301234.35684592</v>
      </c>
      <c r="E8" s="9">
        <v>323892478.42714155</v>
      </c>
      <c r="F8" s="9">
        <v>309803999.99999899</v>
      </c>
      <c r="G8" s="9">
        <v>281993039.43637383</v>
      </c>
      <c r="H8" s="9">
        <v>129079999.99999946</v>
      </c>
      <c r="I8" s="9">
        <v>27745810.665333185</v>
      </c>
      <c r="J8" s="9">
        <v>218540904.30999911</v>
      </c>
      <c r="K8" s="9">
        <v>273176130.38749886</v>
      </c>
      <c r="L8" s="9">
        <v>204882097.79062414</v>
      </c>
      <c r="M8" s="9">
        <v>100915200</v>
      </c>
      <c r="N8" s="9">
        <v>103034419.19999999</v>
      </c>
      <c r="O8" s="9">
        <v>105503919.93077759</v>
      </c>
      <c r="P8" s="9">
        <v>107470429.40228516</v>
      </c>
      <c r="Q8" s="9">
        <v>109773520.70437615</v>
      </c>
      <c r="R8" s="9">
        <v>55602191.980289973</v>
      </c>
    </row>
    <row r="9" spans="2:18" x14ac:dyDescent="0.3">
      <c r="B9" t="s">
        <v>3</v>
      </c>
      <c r="C9" s="9">
        <v>-334899858.86703944</v>
      </c>
      <c r="D9" s="9">
        <v>-133724146.22992413</v>
      </c>
      <c r="E9" s="9">
        <v>-188428023.61337551</v>
      </c>
      <c r="F9" s="9">
        <v>-180175999.99999899</v>
      </c>
      <c r="G9" s="9">
        <v>-165383254.9483473</v>
      </c>
      <c r="H9" s="9">
        <v>-128576999.99999948</v>
      </c>
      <c r="I9" s="9">
        <v>-134535817.66750544</v>
      </c>
      <c r="J9" s="9">
        <v>-135254221.84970146</v>
      </c>
      <c r="K9" s="9">
        <v>-169067777.31212682</v>
      </c>
      <c r="L9" s="9">
        <v>-126800832.98409511</v>
      </c>
      <c r="M9" s="9">
        <v>-35154434.00474824</v>
      </c>
      <c r="N9" s="9">
        <v>-36560611.364938185</v>
      </c>
      <c r="O9" s="9">
        <v>-38127208.520411134</v>
      </c>
      <c r="P9" s="9">
        <v>-39543957.252317131</v>
      </c>
      <c r="Q9" s="9">
        <v>-41125715.542409807</v>
      </c>
      <c r="R9" s="9">
        <v>-38831505.635298625</v>
      </c>
    </row>
    <row r="10" spans="2:18" x14ac:dyDescent="0.3"/>
    <row r="11" spans="2:18" x14ac:dyDescent="0.3">
      <c r="B11" t="s">
        <v>12</v>
      </c>
      <c r="C11" s="9">
        <v>365</v>
      </c>
      <c r="D11" s="9">
        <v>365</v>
      </c>
      <c r="E11" s="9">
        <v>365</v>
      </c>
      <c r="F11" s="9">
        <v>365</v>
      </c>
      <c r="G11" s="9">
        <v>365</v>
      </c>
      <c r="H11" s="9">
        <v>365</v>
      </c>
      <c r="I11" s="9">
        <v>365</v>
      </c>
      <c r="J11" s="9">
        <v>365</v>
      </c>
      <c r="K11" s="9">
        <v>365</v>
      </c>
      <c r="L11" s="9">
        <v>365</v>
      </c>
      <c r="M11" s="9">
        <v>365</v>
      </c>
      <c r="N11" s="9">
        <v>365</v>
      </c>
      <c r="O11" s="9">
        <v>365</v>
      </c>
      <c r="P11" s="9">
        <v>365</v>
      </c>
      <c r="Q11" s="9">
        <v>365</v>
      </c>
      <c r="R11" s="9">
        <v>365</v>
      </c>
    </row>
    <row r="12" spans="2:18" ht="15" thickBot="1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x14ac:dyDescent="0.3">
      <c r="K13" s="4" t="s">
        <v>4</v>
      </c>
    </row>
    <row r="14" spans="2:18" x14ac:dyDescent="0.3">
      <c r="B14" t="s">
        <v>5</v>
      </c>
      <c r="C14" s="8"/>
      <c r="D14" s="9">
        <f>D4/D8*D11</f>
        <v>62.993334870729214</v>
      </c>
      <c r="E14" s="9">
        <f t="shared" ref="E14:J14" si="4">E4/E8*E11</f>
        <v>61.121734274706945</v>
      </c>
      <c r="F14" s="9">
        <f t="shared" si="4"/>
        <v>67.328552891505822</v>
      </c>
      <c r="G14" s="9">
        <f t="shared" si="4"/>
        <v>80.946572460169961</v>
      </c>
      <c r="H14" s="9">
        <f t="shared" si="4"/>
        <v>88.215873876665995</v>
      </c>
      <c r="I14" s="9">
        <f t="shared" si="4"/>
        <v>523.51520123315322</v>
      </c>
      <c r="J14" s="9">
        <f t="shared" si="4"/>
        <v>104.75218252142896</v>
      </c>
      <c r="K14" s="5">
        <f>MEDIAN(D14:J14)</f>
        <v>80.946572460169961</v>
      </c>
    </row>
    <row r="15" spans="2:18" x14ac:dyDescent="0.3">
      <c r="B15" t="s">
        <v>6</v>
      </c>
      <c r="C15" s="8"/>
      <c r="D15" s="9">
        <f>-D6/D7*D11</f>
        <v>249.47632529799168</v>
      </c>
      <c r="E15" s="9">
        <f t="shared" ref="E15:J15" si="5">-E6/E7*E11</f>
        <v>209.68224837071344</v>
      </c>
      <c r="F15" s="9">
        <f t="shared" si="5"/>
        <v>125.54107285480725</v>
      </c>
      <c r="G15" s="9">
        <f t="shared" si="5"/>
        <v>118.48239280619539</v>
      </c>
      <c r="H15" s="9">
        <f t="shared" si="5"/>
        <v>129.38256442320625</v>
      </c>
      <c r="I15" s="9">
        <f t="shared" si="5"/>
        <v>157.73051859810369</v>
      </c>
      <c r="J15" s="9">
        <f t="shared" si="5"/>
        <v>96.771562930338405</v>
      </c>
      <c r="K15" s="5">
        <f>MEDIAN(D15:J15)</f>
        <v>129.38256442320625</v>
      </c>
    </row>
    <row r="16" spans="2:18" ht="15" thickBot="1" x14ac:dyDescent="0.35">
      <c r="B16" t="s">
        <v>7</v>
      </c>
      <c r="C16" s="8"/>
      <c r="D16" s="9">
        <f>D5/-D9*D11</f>
        <v>20.183107012617068</v>
      </c>
      <c r="E16" s="9">
        <f t="shared" ref="E16:J16" si="6">E5/-E9*E11</f>
        <v>53.96121449993408</v>
      </c>
      <c r="F16" s="9">
        <f t="shared" si="6"/>
        <v>64.28259035609662</v>
      </c>
      <c r="G16" s="9">
        <f t="shared" si="6"/>
        <v>82.413603506938387</v>
      </c>
      <c r="H16" s="9">
        <f t="shared" si="6"/>
        <v>122.3820356673438</v>
      </c>
      <c r="I16" s="9">
        <f t="shared" si="6"/>
        <v>109.58604346789285</v>
      </c>
      <c r="J16" s="9">
        <f t="shared" si="6"/>
        <v>135.5499381854965</v>
      </c>
      <c r="K16" s="6">
        <f>MEDIAN(D16:J16)</f>
        <v>82.413603506938387</v>
      </c>
    </row>
    <row r="17" spans="2:18" x14ac:dyDescent="0.3"/>
    <row r="18" spans="2:18" x14ac:dyDescent="0.3"/>
    <row r="19" spans="2:18" x14ac:dyDescent="0.3">
      <c r="B19" t="s">
        <v>14</v>
      </c>
      <c r="C19" s="7">
        <f>SUM(C4:C6)</f>
        <v>-3312250.5882352889</v>
      </c>
      <c r="D19" s="7">
        <f t="shared" ref="D19:R19" si="7">SUM(D4:D6)</f>
        <v>-21075239.647058845</v>
      </c>
      <c r="E19" s="7">
        <f t="shared" si="7"/>
        <v>-37906776.1541605</v>
      </c>
      <c r="F19" s="7">
        <f t="shared" si="7"/>
        <v>25575000</v>
      </c>
      <c r="G19" s="7">
        <f t="shared" si="7"/>
        <v>44374000</v>
      </c>
      <c r="H19" s="7">
        <f t="shared" si="7"/>
        <v>26686000</v>
      </c>
      <c r="I19" s="7">
        <f t="shared" si="7"/>
        <v>23224641.158551678</v>
      </c>
      <c r="J19" s="7">
        <f t="shared" si="7"/>
        <v>74481225.944331527</v>
      </c>
      <c r="K19" s="7">
        <f t="shared" si="7"/>
        <v>43099974.333556324</v>
      </c>
      <c r="L19" s="7">
        <f t="shared" si="7"/>
        <v>32502905.406385601</v>
      </c>
      <c r="M19" s="7">
        <f t="shared" si="7"/>
        <v>25191433.718500849</v>
      </c>
      <c r="N19" s="7">
        <f t="shared" si="7"/>
        <v>18032849.208518721</v>
      </c>
      <c r="O19" s="7">
        <f t="shared" si="7"/>
        <v>18366081.468752861</v>
      </c>
      <c r="P19" s="7">
        <f t="shared" si="7"/>
        <v>18631880.275367923</v>
      </c>
      <c r="Q19" s="7">
        <f t="shared" si="7"/>
        <v>18925889.36272468</v>
      </c>
      <c r="R19" s="7">
        <f t="shared" si="7"/>
        <v>7517679.4939280562</v>
      </c>
    </row>
    <row r="20" spans="2:18" x14ac:dyDescent="0.3">
      <c r="B20" t="s">
        <v>15</v>
      </c>
      <c r="C20" s="8"/>
      <c r="D20" s="7">
        <f>D19-C19</f>
        <v>-17762989.058823556</v>
      </c>
      <c r="E20" s="7">
        <f t="shared" ref="E20:R20" si="8">E19-D19</f>
        <v>-16831536.507101655</v>
      </c>
      <c r="F20" s="7">
        <f t="shared" si="8"/>
        <v>63481776.1541605</v>
      </c>
      <c r="G20" s="7">
        <f t="shared" si="8"/>
        <v>18799000</v>
      </c>
      <c r="H20" s="7">
        <f t="shared" si="8"/>
        <v>-17688000</v>
      </c>
      <c r="I20" s="7">
        <f t="shared" si="8"/>
        <v>-3461358.8414483219</v>
      </c>
      <c r="J20" s="7">
        <f t="shared" si="8"/>
        <v>51256584.785779849</v>
      </c>
      <c r="K20" s="7">
        <f t="shared" si="8"/>
        <v>-31381251.610775203</v>
      </c>
      <c r="L20" s="7">
        <f t="shared" si="8"/>
        <v>-10597068.927170724</v>
      </c>
      <c r="M20" s="7">
        <f t="shared" si="8"/>
        <v>-7311471.6878847517</v>
      </c>
      <c r="N20" s="7">
        <f t="shared" si="8"/>
        <v>-7158584.5099821277</v>
      </c>
      <c r="O20" s="7">
        <f t="shared" si="8"/>
        <v>333232.26023413986</v>
      </c>
      <c r="P20" s="7">
        <f t="shared" si="8"/>
        <v>265798.80661506206</v>
      </c>
      <c r="Q20" s="7">
        <f t="shared" si="8"/>
        <v>294009.08735675737</v>
      </c>
      <c r="R20" s="7">
        <f t="shared" si="8"/>
        <v>-11408209.868796624</v>
      </c>
    </row>
    <row r="21" spans="2:18" x14ac:dyDescent="0.3"/>
    <row r="22" spans="2:18" x14ac:dyDescent="0.3"/>
    <row r="23" spans="2:18" x14ac:dyDescent="0.3"/>
    <row r="24" spans="2:18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Alovsat Orucov</dc:creator>
  <cp:lastModifiedBy>Alovsat Orucov</cp:lastModifiedBy>
  <dcterms:created xsi:type="dcterms:W3CDTF">2025-11-27T17:21:07Z</dcterms:created>
  <dcterms:modified xsi:type="dcterms:W3CDTF">2025-11-27T18:17:09Z</dcterms:modified>
</cp:coreProperties>
</file>